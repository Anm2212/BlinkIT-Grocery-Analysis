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cfd3b448235dca3f/Desktop/"/>
    </mc:Choice>
  </mc:AlternateContent>
  <xr:revisionPtr revIDLastSave="518" documentId="13_ncr:1_{78657701-BFD7-4CF4-919C-B0604C5F0538}" xr6:coauthVersionLast="47" xr6:coauthVersionMax="47" xr10:uidLastSave="{F8226064-F66E-4B25-8481-D2DC3AADC11E}"/>
  <bookViews>
    <workbookView xWindow="-108" yWindow="-108" windowWidth="23256" windowHeight="12456" activeTab="2" xr2:uid="{F8420BDF-C08E-4FBB-891B-F574F63AC6D0}"/>
  </bookViews>
  <sheets>
    <sheet name="RAW DATA" sheetId="1" r:id="rId1"/>
    <sheet name="SHEET DESIGN" sheetId="2" r:id="rId2"/>
    <sheet name="DASHBOARD" sheetId="3" r:id="rId3"/>
  </sheets>
  <definedNames>
    <definedName name="_xlchart.v2.0" hidden="1">'SHEET DESIGN'!$D$78:$D$80</definedName>
    <definedName name="_xlchart.v2.1" hidden="1">'SHEET DESIGN'!$E$78:$E$80</definedName>
    <definedName name="_xlchart.v2.2" hidden="1">'SHEET DESIGN'!$D$78:$D$80</definedName>
    <definedName name="_xlchart.v2.3" hidden="1">'SHEET DESIGN'!$E$78:$E$80</definedName>
    <definedName name="_xlchart.v2.4" hidden="1">'SHEET DESIGN'!$D$78:$D$80</definedName>
    <definedName name="_xlchart.v2.5" hidden="1">'SHEET DESIGN'!$E$78:$E$80</definedName>
    <definedName name="Slicer_Item_Type">#N/A</definedName>
    <definedName name="Slicer_Outlet_Location_Type">#N/A</definedName>
    <definedName name="Slicer_Outlet_Size">#N/A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2" l="1"/>
  <c r="D7" i="2"/>
  <c r="B7" i="2"/>
  <c r="A7" i="2"/>
</calcChain>
</file>

<file path=xl/sharedStrings.xml><?xml version="1.0" encoding="utf-8"?>
<sst xmlns="http://schemas.openxmlformats.org/spreadsheetml/2006/main" count="59742" uniqueCount="1629">
  <si>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</si>
  <si>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</si>
  <si>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</si>
  <si>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</si>
  <si>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</si>
  <si>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</si>
  <si>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</si>
  <si>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</si>
  <si>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</si>
  <si>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</si>
  <si>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</si>
  <si>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</si>
  <si>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</si>
  <si>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</si>
  <si>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</si>
  <si>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</si>
  <si>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</si>
  <si>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</si>
  <si>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</si>
  <si>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</si>
  <si>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</si>
  <si>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</si>
  <si>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</si>
  <si>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</si>
  <si>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</si>
  <si>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</si>
  <si>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</si>
  <si>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</si>
  <si>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</si>
  <si>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</si>
  <si>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</si>
  <si>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</si>
  <si>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</si>
  <si>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</si>
  <si>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</si>
  <si>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</si>
  <si>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</si>
  <si>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</si>
  <si>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</si>
  <si>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</si>
  <si>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</si>
  <si>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</si>
  <si>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</si>
  <si>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</si>
  <si>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</si>
  <si>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</si>
  <si>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</si>
  <si>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</si>
  <si>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</si>
  <si>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</si>
  <si>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</si>
  <si>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</si>
  <si>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</si>
  <si>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</si>
  <si>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</si>
  <si>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</si>
  <si>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</si>
  <si>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</si>
  <si>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</si>
  <si>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</si>
  <si>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</si>
  <si>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</si>
  <si>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</si>
  <si>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</si>
  <si>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</si>
  <si>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</si>
  <si>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</si>
  <si>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</si>
  <si>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</si>
  <si>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</si>
  <si>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</si>
  <si>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</si>
  <si>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</si>
  <si>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</si>
  <si>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</si>
  <si>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</si>
  <si>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</si>
  <si>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</si>
  <si>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</si>
  <si>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</si>
  <si>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</si>
  <si>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</si>
  <si>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</si>
  <si>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</si>
  <si>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</si>
  <si>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</si>
  <si>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</si>
  <si>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</si>
  <si>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</si>
  <si>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</si>
  <si>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</si>
  <si>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</si>
  <si>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</si>
  <si>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</si>
  <si>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</si>
  <si>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</si>
  <si>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</si>
  <si>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</si>
  <si>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</si>
  <si>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</si>
  <si>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</si>
  <si>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</si>
  <si>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</si>
  <si>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</si>
  <si>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</si>
  <si>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</si>
  <si>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</si>
  <si>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</si>
  <si>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</si>
  <si>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</si>
  <si>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</si>
  <si>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</si>
  <si>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</si>
  <si>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</si>
  <si>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</si>
  <si>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</si>
  <si>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</si>
  <si>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</si>
  <si>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</si>
  <si>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</si>
  <si>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</si>
  <si>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</si>
  <si>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</si>
  <si>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</si>
  <si>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</si>
  <si>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</si>
  <si>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</si>
  <si>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</si>
  <si>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</si>
  <si>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</si>
  <si>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</si>
  <si>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</si>
  <si>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</si>
  <si>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</si>
  <si>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</si>
  <si>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</si>
  <si>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</si>
  <si>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</si>
  <si>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</si>
  <si>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</si>
  <si>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</si>
  <si>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</si>
  <si>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</si>
  <si>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</si>
  <si>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</si>
  <si>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</si>
  <si>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</si>
  <si>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</si>
  <si>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</si>
  <si>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</si>
  <si>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</si>
  <si>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</si>
  <si>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</si>
  <si>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</si>
  <si>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</si>
  <si>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</si>
  <si>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</si>
  <si>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</si>
  <si>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</si>
  <si>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</si>
  <si>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</si>
  <si>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</si>
  <si>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</si>
  <si>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</si>
  <si>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</si>
  <si>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</si>
  <si>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</si>
  <si>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</si>
  <si>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</si>
  <si>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</si>
  <si>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</si>
  <si>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</si>
  <si>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</si>
  <si>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</si>
  <si>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</si>
  <si>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</si>
  <si>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</si>
  <si>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</si>
  <si>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</si>
  <si>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</si>
  <si>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</si>
  <si>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</si>
  <si>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</si>
  <si>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</si>
  <si>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</si>
  <si>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</si>
  <si>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</si>
  <si>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</si>
  <si>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</si>
  <si>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</si>
  <si>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</si>
  <si>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</si>
  <si>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</si>
  <si>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</si>
  <si>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</si>
  <si>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</si>
  <si>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</si>
  <si>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</si>
  <si>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</si>
  <si>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</si>
  <si>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</si>
  <si>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</si>
  <si>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</si>
  <si>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</si>
  <si>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</si>
  <si>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</si>
  <si>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</si>
  <si>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</si>
  <si>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</si>
  <si>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</si>
  <si>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</si>
  <si>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</si>
  <si>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</si>
  <si>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</si>
  <si>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</si>
  <si>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</si>
  <si>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</si>
  <si>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</si>
  <si>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</si>
  <si>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</si>
  <si>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</si>
  <si>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</si>
  <si>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</si>
  <si>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</si>
  <si>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</si>
  <si>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</si>
  <si>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</si>
  <si>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</si>
  <si>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</si>
  <si>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</si>
  <si>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</si>
  <si>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</si>
  <si>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</si>
  <si>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</si>
  <si>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</si>
  <si>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</si>
  <si>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</si>
  <si>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</si>
  <si>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</si>
  <si>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</si>
  <si>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</si>
  <si>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</si>
  <si>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</si>
  <si>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</si>
  <si>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</si>
  <si>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</si>
  <si>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</si>
  <si>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</si>
  <si>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</si>
  <si>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</si>
  <si>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</si>
  <si>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</si>
  <si>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</si>
  <si>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</si>
  <si>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</si>
  <si>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</si>
  <si>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</si>
  <si>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</si>
  <si>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</si>
  <si>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</si>
  <si>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</si>
  <si>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</si>
  <si>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</si>
  <si>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</si>
  <si>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</si>
  <si>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</si>
  <si>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</si>
  <si>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</si>
  <si>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</si>
  <si>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</si>
  <si>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</si>
  <si>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</si>
  <si>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</si>
  <si>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</si>
  <si>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</si>
  <si>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</si>
  <si>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</si>
  <si>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</si>
  <si>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</si>
  <si>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</si>
  <si>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</si>
  <si>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</si>
  <si>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</si>
  <si>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</si>
  <si>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</si>
  <si>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</si>
  <si>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</si>
  <si>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</si>
  <si>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</si>
  <si>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</si>
  <si>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</si>
  <si>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</si>
  <si>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</si>
  <si>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</si>
  <si>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</si>
  <si>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</si>
  <si>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</si>
  <si>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</si>
  <si>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</si>
  <si>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</si>
  <si>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</si>
  <si>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</si>
  <si>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</si>
  <si>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</si>
  <si>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</si>
  <si>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</si>
  <si>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</si>
  <si>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</si>
  <si>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</si>
  <si>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</si>
  <si>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</si>
  <si>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</si>
  <si>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</si>
  <si>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</si>
  <si>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</si>
  <si>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</si>
  <si>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</si>
  <si>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</si>
  <si>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</si>
  <si>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</si>
  <si>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</si>
  <si>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</si>
  <si>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</si>
  <si>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</si>
  <si>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</si>
  <si>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</si>
  <si>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</si>
  <si>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</si>
  <si>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</si>
  <si>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</si>
  <si>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</si>
  <si>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</si>
  <si>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</si>
  <si>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</si>
  <si>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</si>
  <si>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</si>
  <si>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</si>
  <si>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</si>
  <si>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</si>
  <si>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</si>
  <si>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</si>
  <si>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</si>
  <si>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</si>
  <si>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</si>
  <si>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</si>
  <si>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</si>
  <si>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</si>
  <si>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</si>
  <si>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</si>
  <si>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</si>
  <si>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</si>
  <si>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</si>
  <si>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</si>
  <si>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</si>
  <si>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</si>
  <si>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</si>
  <si>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</si>
  <si>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</si>
  <si>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</si>
  <si>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</si>
  <si>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</si>
  <si>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</si>
  <si>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</si>
  <si>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</si>
  <si>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</si>
  <si>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</si>
  <si>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</si>
  <si>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</si>
  <si>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</si>
  <si>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</si>
  <si>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</si>
  <si>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</si>
  <si>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</si>
  <si>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</si>
  <si>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</si>
  <si>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</si>
  <si>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</si>
  <si>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</si>
  <si>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</si>
  <si>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</si>
  <si>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</si>
  <si>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</si>
  <si>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</si>
  <si>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</si>
  <si>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</si>
  <si>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</si>
  <si>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</si>
  <si>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</si>
  <si>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</si>
  <si>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</si>
  <si>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</si>
  <si>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</si>
  <si>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</si>
  <si>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</si>
  <si>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</si>
  <si>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</si>
  <si>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</si>
  <si>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</si>
  <si>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</si>
  <si>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</si>
  <si>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</si>
  <si>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</si>
  <si>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</si>
  <si>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</si>
  <si>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</si>
  <si>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</si>
  <si>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</si>
  <si>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</si>
  <si>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</si>
  <si>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</si>
  <si>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</si>
  <si>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</si>
  <si>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</si>
  <si>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</si>
  <si>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</si>
  <si>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</si>
  <si>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</si>
  <si>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</si>
  <si>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</si>
  <si>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</si>
  <si>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</si>
  <si>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</si>
  <si>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</si>
  <si>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</si>
  <si>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</si>
  <si>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</si>
  <si>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</si>
  <si>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</si>
  <si>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</si>
  <si>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</si>
  <si>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</si>
  <si>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</si>
  <si>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</si>
  <si>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</si>
  <si>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</si>
  <si>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</si>
  <si>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</si>
  <si>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</si>
  <si>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</si>
  <si>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</si>
  <si>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</si>
  <si>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</si>
  <si>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</si>
  <si>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</si>
  <si>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</si>
  <si>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</si>
  <si>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</si>
  <si>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</si>
  <si>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</si>
  <si>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</si>
  <si>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</si>
  <si>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</si>
  <si>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</si>
  <si>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</si>
  <si>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</si>
  <si>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</si>
  <si>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</si>
  <si>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</si>
  <si>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</si>
  <si>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</si>
  <si>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</si>
  <si>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</si>
  <si>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</si>
  <si>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</si>
  <si>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</si>
  <si>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</si>
  <si>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</si>
  <si>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</si>
  <si>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</si>
  <si>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</si>
  <si>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</si>
  <si>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</si>
  <si>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</si>
  <si>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</si>
  <si>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</si>
  <si>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</si>
  <si>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</si>
  <si>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</si>
  <si>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</si>
  <si>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</si>
  <si>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</si>
  <si>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</si>
  <si>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</si>
  <si>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</si>
  <si>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</si>
  <si>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</si>
  <si>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</si>
  <si>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</si>
  <si>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</si>
  <si>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</si>
  <si>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</si>
  <si>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</si>
  <si>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</si>
  <si>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</si>
  <si>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</si>
  <si>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</si>
  <si>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</si>
  <si>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</si>
  <si>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</si>
  <si>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</si>
  <si>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</si>
  <si>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</si>
  <si>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</si>
  <si>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</si>
  <si>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</si>
  <si>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</si>
  <si>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</si>
  <si>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</si>
  <si>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</si>
  <si>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</si>
  <si>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</si>
  <si>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</si>
  <si>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</si>
  <si>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</si>
  <si>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</si>
  <si>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</si>
  <si>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</si>
  <si>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</si>
  <si>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</si>
  <si>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</si>
  <si>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</si>
  <si>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</si>
  <si>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</si>
  <si>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</si>
  <si>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</si>
  <si>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</si>
  <si>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</si>
  <si>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</si>
  <si>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</si>
  <si>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</si>
  <si>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</si>
  <si>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</si>
  <si>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</si>
  <si>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</si>
  <si>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</si>
  <si>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</si>
  <si>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</si>
  <si>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</si>
  <si>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</si>
  <si>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</si>
  <si>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</si>
  <si>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</si>
  <si>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</si>
  <si>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</si>
  <si>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</si>
  <si>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</si>
  <si>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</si>
  <si>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</si>
  <si>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</si>
  <si>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</si>
  <si>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</si>
  <si>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</si>
  <si>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</si>
  <si>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</si>
  <si>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</si>
  <si>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</si>
  <si>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</si>
  <si>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</si>
  <si>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</si>
  <si>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</si>
  <si>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</si>
  <si>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</si>
  <si>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</si>
  <si>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</si>
  <si>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</si>
  <si>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</si>
  <si>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</si>
  <si>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</si>
  <si>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</si>
  <si>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</si>
  <si>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</si>
  <si>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</si>
  <si>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</si>
  <si>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</si>
  <si>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</si>
  <si>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</si>
  <si>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</si>
  <si>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</si>
  <si>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</si>
  <si>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</si>
  <si>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</si>
  <si>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</si>
  <si>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</si>
  <si>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</si>
  <si>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</si>
  <si>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</si>
  <si>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</si>
  <si>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</si>
  <si>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</si>
  <si>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</si>
  <si>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</si>
  <si>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</si>
  <si>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</si>
  <si>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</si>
  <si>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</si>
  <si>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</si>
  <si>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</si>
  <si>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</si>
  <si>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</si>
  <si>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</si>
  <si>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</si>
  <si>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</si>
  <si>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</si>
  <si>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</si>
  <si>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</si>
  <si>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</si>
  <si>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</si>
  <si>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</si>
  <si>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</si>
  <si>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</si>
  <si>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</si>
  <si>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</si>
  <si>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</si>
  <si>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</si>
  <si>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</si>
  <si>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</si>
  <si>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</si>
  <si>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</si>
  <si>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</si>
  <si>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</si>
  <si>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</si>
  <si>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</si>
  <si>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</si>
  <si>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</si>
  <si>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</si>
  <si>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</si>
  <si>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</si>
  <si>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</si>
  <si>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</si>
  <si>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</si>
  <si>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</si>
  <si>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</si>
  <si>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</si>
  <si>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</si>
  <si>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</si>
  <si>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</si>
  <si>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</si>
  <si>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</si>
  <si>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</si>
  <si>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</si>
  <si>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</si>
  <si>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</si>
  <si>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</si>
  <si>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</si>
  <si>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</si>
  <si>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</si>
  <si>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</si>
  <si>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</si>
  <si>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</si>
  <si>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</si>
  <si>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</si>
  <si>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</si>
  <si>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</si>
  <si>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</si>
  <si>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</si>
  <si>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</si>
  <si>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</si>
  <si>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</si>
  <si>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</si>
  <si>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</si>
  <si>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</si>
  <si>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</si>
  <si>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</si>
  <si>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</si>
  <si>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</si>
  <si>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</si>
  <si>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</si>
  <si>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</si>
  <si>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</si>
  <si>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</si>
  <si>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</si>
  <si>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</si>
  <si>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</si>
  <si>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</si>
  <si>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</si>
  <si>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</si>
  <si>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</si>
  <si>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</si>
  <si>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</si>
  <si>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</si>
  <si>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</si>
  <si>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</si>
  <si>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</si>
  <si>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</si>
  <si>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</si>
  <si>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</si>
  <si>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</si>
  <si>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</si>
  <si>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</si>
  <si>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</si>
  <si>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</si>
  <si>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</si>
  <si>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</si>
  <si>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</si>
  <si>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</si>
  <si>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</si>
  <si>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</si>
  <si>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</si>
  <si>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</si>
  <si>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</si>
  <si>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</si>
  <si>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</si>
  <si>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</si>
  <si>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</si>
  <si>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</si>
  <si>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</si>
  <si>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</si>
  <si>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</si>
  <si>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</si>
  <si>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</si>
  <si>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</si>
  <si>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</si>
  <si>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</si>
  <si>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</si>
  <si>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</si>
  <si>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</si>
  <si>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</si>
  <si>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</si>
  <si>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</si>
  <si>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</si>
  <si>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</si>
  <si>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</si>
  <si>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</si>
  <si>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</si>
  <si>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</si>
  <si>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</si>
  <si>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</si>
  <si>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</si>
  <si>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</si>
  <si>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</si>
  <si>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</si>
  <si>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</si>
  <si>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</si>
  <si>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</si>
  <si>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</si>
  <si>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</si>
  <si>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</si>
  <si>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</si>
  <si>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</si>
  <si>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</si>
  <si>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</si>
  <si>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</si>
  <si>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</si>
  <si>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</si>
  <si>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</si>
  <si>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</si>
  <si>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</si>
  <si>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</si>
  <si>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</si>
  <si>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</si>
  <si>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</si>
  <si>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</si>
  <si>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</si>
  <si>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</si>
  <si>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</si>
  <si>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</si>
  <si>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</si>
  <si>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</si>
  <si>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</si>
  <si>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</si>
  <si>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</si>
  <si>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</si>
  <si>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</si>
  <si>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</si>
  <si>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</si>
  <si>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</si>
  <si>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</si>
  <si>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</si>
  <si>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</si>
  <si>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</si>
  <si>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</si>
  <si>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</si>
  <si>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</si>
  <si>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</si>
  <si>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</si>
  <si>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</si>
  <si>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</si>
  <si>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</si>
  <si>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</si>
  <si>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</si>
  <si>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</si>
  <si>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</si>
  <si>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</si>
  <si>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</si>
  <si>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</si>
  <si>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</si>
  <si>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</si>
  <si>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</si>
  <si>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</si>
  <si>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</si>
  <si>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</si>
  <si>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</si>
  <si>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</si>
  <si>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</si>
  <si>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</si>
  <si>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</si>
  <si>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</si>
  <si>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</si>
  <si>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</si>
  <si>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</si>
  <si>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</si>
  <si>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</si>
  <si>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</si>
  <si>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</si>
  <si>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</si>
  <si>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</si>
  <si>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</si>
  <si>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</si>
  <si>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</si>
  <si>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</si>
  <si>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</si>
  <si>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</si>
  <si>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</si>
  <si>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</si>
  <si>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</si>
  <si>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</si>
  <si>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</si>
  <si>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</si>
  <si>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</si>
  <si>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</si>
  <si>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</si>
  <si>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</si>
  <si>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</si>
  <si>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</si>
  <si>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</si>
  <si>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</si>
  <si>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</si>
  <si>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</si>
  <si>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</si>
  <si>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</si>
  <si>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</si>
  <si>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</si>
  <si>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</si>
  <si>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</si>
  <si>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</si>
  <si>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</si>
  <si>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</si>
  <si>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</si>
  <si>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</si>
  <si>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</si>
  <si>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</si>
  <si>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</si>
  <si>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</si>
  <si>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</si>
  <si>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</si>
  <si>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</si>
  <si>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</si>
  <si>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</si>
  <si>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</si>
  <si>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</si>
  <si>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</si>
  <si>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</si>
  <si>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</si>
  <si>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</si>
  <si>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</si>
  <si>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</si>
  <si>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</si>
  <si>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</si>
  <si>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</si>
  <si>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</si>
  <si>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</si>
  <si>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</si>
  <si>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</si>
  <si>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</si>
  <si>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</si>
  <si>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</si>
  <si>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</si>
  <si>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</si>
  <si>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</si>
  <si>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</si>
  <si>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</si>
  <si>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</si>
  <si>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</si>
  <si>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</si>
  <si>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</si>
  <si>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</si>
  <si>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</si>
  <si>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</si>
  <si>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</si>
  <si>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</si>
  <si>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</si>
  <si>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</si>
  <si>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</si>
  <si>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</si>
  <si>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</si>
  <si>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</si>
  <si>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</si>
  <si>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</si>
  <si>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</si>
  <si>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</si>
  <si>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</si>
  <si>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</si>
  <si>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</si>
  <si>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</si>
  <si>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</si>
  <si>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</si>
  <si>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</si>
  <si>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</si>
  <si>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</si>
  <si>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</si>
  <si>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</si>
  <si>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</si>
  <si>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</si>
  <si>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</si>
  <si>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</si>
  <si>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</si>
  <si>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</si>
  <si>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</si>
  <si>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</si>
  <si>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</si>
  <si>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</si>
  <si>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</si>
  <si>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</si>
  <si>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</si>
  <si>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</si>
  <si>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</si>
  <si>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</si>
  <si>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</si>
  <si>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</si>
  <si>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</si>
  <si>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</si>
  <si>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</si>
  <si>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</si>
  <si>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</si>
  <si>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</si>
  <si>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</si>
  <si>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</si>
  <si>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</si>
  <si>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</si>
  <si>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</si>
  <si>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</si>
  <si>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</si>
  <si>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</si>
  <si>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</si>
  <si>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</si>
  <si>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</si>
  <si>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</si>
  <si>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</si>
  <si>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</si>
  <si>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</si>
  <si>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</si>
  <si>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</si>
  <si>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</si>
  <si>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</si>
  <si>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</si>
  <si>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</si>
  <si>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</si>
  <si>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</si>
  <si>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</si>
  <si>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</si>
  <si>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</si>
  <si>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</si>
  <si>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</si>
  <si>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</si>
  <si>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</si>
  <si>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</si>
  <si>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</si>
  <si>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</si>
  <si>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</si>
  <si>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</si>
  <si>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</si>
  <si>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</si>
  <si>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</si>
  <si>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</si>
  <si>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</si>
  <si>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</si>
  <si>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</si>
  <si>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</si>
  <si>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</si>
  <si>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</si>
  <si>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</si>
  <si>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</si>
  <si>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</si>
  <si>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</si>
  <si>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</si>
  <si>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</si>
  <si>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</si>
  <si>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</si>
  <si>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</si>
  <si>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</si>
  <si>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</si>
  <si>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</si>
  <si>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</si>
  <si>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</si>
  <si>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</si>
  <si>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</si>
  <si>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</si>
  <si>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</si>
  <si>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</si>
  <si>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</si>
  <si>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</si>
  <si>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</si>
  <si>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</si>
  <si>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</si>
  <si>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</si>
  <si>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</si>
  <si>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</si>
  <si>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</si>
  <si>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</si>
  <si>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</si>
  <si>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</si>
  <si>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</si>
  <si>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</si>
  <si>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</si>
  <si>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</si>
  <si>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</si>
  <si>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</si>
  <si>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</si>
  <si>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</si>
  <si>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</si>
  <si>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</si>
  <si>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</si>
  <si>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</si>
  <si>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</si>
  <si>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</si>
  <si>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</si>
  <si>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</si>
  <si>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</si>
  <si>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</si>
  <si>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</si>
  <si>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</si>
  <si>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</si>
  <si>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</si>
  <si>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</si>
  <si>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</si>
  <si>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</si>
  <si>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</si>
  <si>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</si>
  <si>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</si>
  <si>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</si>
  <si>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</si>
  <si>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</si>
  <si>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</si>
  <si>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</si>
  <si>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</si>
  <si>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</si>
  <si>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</si>
  <si>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</si>
  <si>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</si>
  <si>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</si>
  <si>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</si>
  <si>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</si>
  <si>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</si>
  <si>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</si>
  <si>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</si>
  <si>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</si>
  <si>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</si>
  <si>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</si>
  <si>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</si>
  <si>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</si>
  <si>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</si>
  <si>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</si>
  <si>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</si>
  <si>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</si>
  <si>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</si>
  <si>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</si>
  <si>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</si>
  <si>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</si>
  <si>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</si>
  <si>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</si>
  <si>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</si>
  <si>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</si>
  <si>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</si>
  <si>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</si>
  <si>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</si>
  <si>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</si>
  <si>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</si>
  <si>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</si>
  <si>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</si>
  <si>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</si>
  <si>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</si>
  <si>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</si>
  <si>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</si>
  <si>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</si>
  <si>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</si>
  <si>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</si>
  <si>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</si>
  <si>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</si>
  <si>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</si>
  <si>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</si>
  <si>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</si>
  <si>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</si>
  <si>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</si>
  <si>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</si>
  <si>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</si>
  <si>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</si>
  <si>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</si>
  <si>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</si>
  <si>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</si>
  <si>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</si>
  <si>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</si>
  <si>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</si>
  <si>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</si>
  <si>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</si>
  <si>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</si>
  <si>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</si>
  <si>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</si>
  <si>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</si>
  <si>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</si>
  <si>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</si>
  <si>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</si>
  <si>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</si>
  <si>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</si>
  <si>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</si>
  <si>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</si>
  <si>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</si>
  <si>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</si>
  <si>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</si>
  <si>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</si>
  <si>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</si>
  <si>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</si>
  <si>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</si>
  <si>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</si>
  <si>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</si>
  <si>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</si>
  <si>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</si>
  <si>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</si>
  <si>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</si>
  <si>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</si>
  <si>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</si>
  <si>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</si>
  <si>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</si>
  <si>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</si>
  <si>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</si>
  <si>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</si>
  <si>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</si>
  <si>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</si>
  <si>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</si>
  <si>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</si>
  <si>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</si>
  <si>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</si>
  <si>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</si>
  <si>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</si>
  <si>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</si>
  <si>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</si>
  <si>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</si>
  <si>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</si>
  <si>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</si>
  <si>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</si>
  <si>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</si>
  <si>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</si>
  <si>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</si>
  <si>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</si>
  <si>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</si>
  <si>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</si>
  <si>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</si>
  <si>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</si>
  <si>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</si>
  <si>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</si>
  <si>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</si>
  <si>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</si>
  <si>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</si>
  <si>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</si>
  <si>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</si>
  <si>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</si>
  <si>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</si>
  <si>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</si>
  <si>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</si>
  <si>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</si>
  <si>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</si>
  <si>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</si>
  <si>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</si>
  <si>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</si>
  <si>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</si>
  <si>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</si>
  <si>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</si>
  <si>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</si>
  <si>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</si>
  <si>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</si>
  <si>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</si>
  <si>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</si>
  <si>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</si>
  <si>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</si>
  <si>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</si>
  <si>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</si>
  <si>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</si>
  <si>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</si>
  <si>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</si>
  <si>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</si>
  <si>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</si>
  <si>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</si>
  <si>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</si>
  <si>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</si>
  <si>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</si>
  <si>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</si>
  <si>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</si>
  <si>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</si>
  <si>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</si>
  <si>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</si>
  <si>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</si>
  <si>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</si>
  <si>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</si>
  <si>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</si>
  <si>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</si>
  <si>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</si>
  <si>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</si>
  <si>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</si>
  <si>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</si>
  <si>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</si>
  <si>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</si>
  <si>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</si>
  <si>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</si>
  <si>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</si>
  <si>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</si>
  <si>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</si>
  <si>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</si>
  <si>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</si>
  <si>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</si>
  <si>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</si>
  <si>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</si>
  <si>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</si>
  <si>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</si>
  <si>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</si>
  <si>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</si>
  <si>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</si>
  <si>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</si>
  <si>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</si>
  <si>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</si>
  <si>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</si>
  <si>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</si>
  <si>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</si>
  <si>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</si>
  <si>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</si>
  <si>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</si>
  <si>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</si>
  <si>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</si>
  <si>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</si>
  <si>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</si>
  <si>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</si>
  <si>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</si>
  <si>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</si>
  <si>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</si>
  <si>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</si>
  <si>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</si>
  <si>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</si>
  <si>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</si>
  <si>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</si>
  <si>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</si>
  <si>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</si>
  <si>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</si>
  <si>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</si>
  <si>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</si>
  <si>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</si>
  <si>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</si>
  <si>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</si>
  <si>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</si>
  <si>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</si>
  <si>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</si>
  <si>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</si>
  <si>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</si>
  <si>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</si>
  <si>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</si>
  <si>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</si>
  <si>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</si>
  <si>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</si>
  <si>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</si>
  <si>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</si>
  <si>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</si>
  <si>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</si>
  <si>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</si>
  <si>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</si>
  <si>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</si>
  <si>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</si>
  <si>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</si>
  <si>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</si>
  <si>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</si>
  <si>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</si>
  <si>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</si>
  <si>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</si>
  <si>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</si>
  <si>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</si>
  <si>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</si>
  <si>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</si>
  <si>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</si>
  <si>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</si>
  <si>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</si>
  <si>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</si>
  <si>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</si>
  <si>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</si>
  <si>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</si>
  <si>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</si>
  <si>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</si>
  <si>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</si>
  <si>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</si>
  <si>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</si>
  <si>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</si>
  <si>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</si>
  <si>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</si>
  <si>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</si>
  <si>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</si>
  <si>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</si>
  <si>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</si>
  <si>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</si>
  <si>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</si>
  <si>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</si>
  <si>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</si>
  <si>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</si>
  <si>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</si>
  <si>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</si>
  <si>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</si>
  <si>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</si>
  <si>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</si>
  <si>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</si>
  <si>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</si>
  <si>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</si>
  <si>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</si>
  <si>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</si>
  <si>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</si>
  <si>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</si>
  <si>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</si>
  <si>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</si>
  <si>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</si>
  <si>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</si>
  <si>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</si>
  <si>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</si>
  <si>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</si>
  <si>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</si>
  <si>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</si>
  <si>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</si>
  <si>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</si>
  <si>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</si>
  <si>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</si>
  <si>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</si>
  <si>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</si>
  <si>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</si>
  <si>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</si>
  <si>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</si>
  <si>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</si>
  <si>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</si>
  <si>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</si>
  <si>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</si>
  <si>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</si>
  <si>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</si>
  <si>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</si>
  <si>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</si>
  <si>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</si>
  <si>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</si>
  <si>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</si>
  <si>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</si>
  <si>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</si>
  <si>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</si>
  <si>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</si>
  <si>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</si>
  <si>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</si>
  <si>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</si>
  <si>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</si>
  <si>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</si>
  <si>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</si>
  <si>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</si>
  <si>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</si>
  <si>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</si>
  <si>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</si>
  <si>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</si>
  <si>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</si>
  <si>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</si>
  <si>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</si>
  <si>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</si>
  <si>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</si>
  <si>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</si>
  <si>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</si>
  <si>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</si>
  <si>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</si>
  <si>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</si>
  <si>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</si>
  <si>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</si>
  <si>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</si>
  <si>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</si>
  <si>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</si>
  <si>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</si>
  <si>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</si>
  <si>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</si>
  <si>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</si>
  <si>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</si>
  <si>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</si>
  <si>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</si>
  <si>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</si>
  <si>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</si>
  <si>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</si>
  <si>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</si>
  <si>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</si>
  <si>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</si>
  <si>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</si>
  <si>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</si>
  <si>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</si>
  <si>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</si>
  <si>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</si>
  <si>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</si>
  <si>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</si>
  <si>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</si>
  <si>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</si>
  <si>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</si>
  <si>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</si>
  <si>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</si>
  <si>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</si>
  <si>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</si>
  <si>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</si>
  <si>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</si>
  <si>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</si>
  <si>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</si>
  <si>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</si>
  <si>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</si>
  <si>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</si>
  <si>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</si>
  <si>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</si>
  <si>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</si>
  <si>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</si>
  <si>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</si>
  <si>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</si>
  <si>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</si>
  <si>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</si>
  <si>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</si>
  <si>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</si>
  <si>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</si>
  <si>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</si>
  <si>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</si>
  <si>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</si>
  <si>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</si>
  <si>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</si>
  <si>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</si>
  <si>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</si>
  <si>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</si>
  <si>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</si>
  <si>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</si>
  <si>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</si>
  <si>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</si>
  <si>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</si>
  <si>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</si>
  <si>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</si>
  <si>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</si>
  <si>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</si>
  <si>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</si>
  <si>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</si>
  <si>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</si>
  <si>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</si>
  <si>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</si>
  <si>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</si>
  <si>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</si>
  <si>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</si>
  <si>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</si>
  <si>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</si>
  <si>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</si>
  <si>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</si>
  <si>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</si>
  <si>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</si>
  <si>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</si>
  <si>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</si>
  <si>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</si>
  <si>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</si>
  <si>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</si>
  <si>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</si>
  <si>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</si>
  <si>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</si>
  <si>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</si>
  <si>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</si>
  <si>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</si>
  <si>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</si>
  <si>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</si>
  <si>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</si>
  <si>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</si>
  <si>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</si>
  <si>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</si>
  <si>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</si>
  <si>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</si>
  <si>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</si>
  <si>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</si>
  <si>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</si>
  <si>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</si>
  <si>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</si>
  <si>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</si>
  <si>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</si>
  <si>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</si>
  <si>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</si>
  <si>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</si>
  <si>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</si>
  <si>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</si>
  <si>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</si>
  <si>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</si>
  <si>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</si>
  <si>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</si>
  <si>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</si>
  <si>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</si>
  <si>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</si>
  <si>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</si>
  <si>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</si>
  <si>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</si>
  <si>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</si>
  <si>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</si>
  <si>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</si>
  <si>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</si>
  <si>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</si>
  <si>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</si>
  <si>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</si>
  <si>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</si>
  <si>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</si>
  <si>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</si>
  <si>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</si>
  <si>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</si>
  <si>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</si>
  <si>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</si>
  <si>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</si>
  <si>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</si>
  <si>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</si>
  <si>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</si>
  <si>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</si>
  <si>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</si>
  <si>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</si>
  <si>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</si>
  <si>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</si>
  <si>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</si>
  <si>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</si>
  <si>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</si>
  <si>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</si>
  <si>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</si>
  <si>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</si>
  <si>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</si>
  <si>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</si>
  <si>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</si>
  <si>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</si>
  <si>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</si>
  <si>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</si>
  <si>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</si>
  <si>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</si>
  <si>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</si>
  <si>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</si>
  <si>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</si>
  <si>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</si>
  <si>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</si>
  <si>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</si>
  <si>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</si>
  <si>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</si>
  <si>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</si>
  <si>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</si>
  <si>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</si>
  <si>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</si>
  <si>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</si>
  <si>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</si>
  <si>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</si>
  <si>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</si>
  <si>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</si>
  <si>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</si>
  <si>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</si>
  <si>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</si>
  <si>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</si>
  <si>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</si>
  <si>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</si>
  <si>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</si>
  <si>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</si>
  <si>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</si>
  <si>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</si>
  <si>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</si>
  <si>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</si>
  <si>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</si>
  <si>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</si>
  <si>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</si>
  <si>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</si>
  <si>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</si>
  <si>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</si>
  <si>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</si>
  <si>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</si>
  <si>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</si>
  <si>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</si>
  <si>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</si>
  <si>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</si>
  <si>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</si>
  <si>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</si>
  <si>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</si>
  <si>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</si>
  <si>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</si>
  <si>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</si>
  <si>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</si>
  <si>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</si>
  <si>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</si>
  <si>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</si>
  <si>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</si>
  <si>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</si>
  <si>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</si>
  <si>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</si>
  <si>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</si>
  <si>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</si>
  <si>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</si>
  <si>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</si>
  <si>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</si>
  <si>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</si>
  <si>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</si>
  <si>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</si>
  <si>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</si>
  <si>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</si>
  <si>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</si>
  <si>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</si>
  <si>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</si>
  <si>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</si>
  <si>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</si>
  <si>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</si>
  <si>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</si>
  <si>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</si>
  <si>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</si>
  <si>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</si>
  <si>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</si>
  <si>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</si>
  <si>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</si>
  <si>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</si>
  <si>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</si>
  <si>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</si>
  <si>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</si>
  <si>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</si>
  <si>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</si>
  <si>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</si>
  <si>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</si>
  <si>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</si>
  <si>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</si>
  <si>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</si>
  <si>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Avg sales</t>
  </si>
  <si>
    <t>Sr.No</t>
  </si>
  <si>
    <t>No of items</t>
  </si>
  <si>
    <t>Average Rating</t>
  </si>
  <si>
    <t xml:space="preserve"> </t>
  </si>
  <si>
    <t>Total sales</t>
  </si>
  <si>
    <t>avg sales</t>
  </si>
  <si>
    <t>no of items</t>
  </si>
  <si>
    <t>Avg rating</t>
  </si>
  <si>
    <t>Row Labels</t>
  </si>
  <si>
    <t>KPI requierements</t>
  </si>
  <si>
    <t>Total sales by content</t>
  </si>
  <si>
    <t>Total sales by item type</t>
  </si>
  <si>
    <t>Column Labels</t>
  </si>
  <si>
    <t>Total sales by outlet establishment</t>
  </si>
  <si>
    <t>Total sales by size</t>
  </si>
  <si>
    <t>Total sales by location</t>
  </si>
  <si>
    <t>Total sales by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</si>
</sst>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quot;M&quot;"/>
    <numFmt numFmtId="165" formatCode="&quot;$&quot;0"/>
    <numFmt numFmtId="166" formatCode="0.0"/>
    <numFmt numFmtId="167"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0" fontId="0" fillId="0" borderId="12" xfId="0" applyBorder="1"/>
    <xf numFmtId="0" fontId="0" fillId="0" borderId="13" xfId="0" applyBorder="1"/>
    <xf numFmtId="0" fontId="0" fillId="0" borderId="14" xfId="0" applyBorder="1"/>
    <xf numFmtId="164" fontId="0" fillId="0" borderId="15" xfId="0" applyNumberFormat="1" applyBorder="1"/>
    <xf numFmtId="165" fontId="0" fillId="0" borderId="16" xfId="0" applyNumberFormat="1" applyBorder="1"/>
    <xf numFmtId="0" fontId="0" fillId="0" borderId="16" xfId="0" applyBorder="1"/>
    <xf numFmtId="166" fontId="0" fillId="0" borderId="17" xfId="0" applyNumberFormat="1" applyBorder="1"/>
    <xf numFmtId="0" fontId="0" fillId="0" borderId="10" xfId="0" pivotButton="1"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18" xfId="0" applyBorder="1"/>
    <xf numFmtId="0" fontId="0" fillId="0" borderId="19" xfId="0" applyBorder="1"/>
    <xf numFmtId="0" fontId="0" fillId="0" borderId="20" xfId="0" applyBorder="1"/>
    <xf numFmtId="0" fontId="0" fillId="0" borderId="13" xfId="0" applyBorder="1" applyAlignment="1">
      <alignment horizontal="left"/>
    </xf>
    <xf numFmtId="0" fontId="0" fillId="0" borderId="15" xfId="0" applyBorder="1" applyAlignment="1">
      <alignment horizontal="left"/>
    </xf>
    <xf numFmtId="167" fontId="0" fillId="0" borderId="21" xfId="0" applyNumberFormat="1" applyBorder="1"/>
    <xf numFmtId="167" fontId="0" fillId="0" borderId="22" xfId="0" applyNumberFormat="1" applyBorder="1"/>
    <xf numFmtId="0" fontId="0" fillId="33" borderId="0" xfId="0" applyFill="1"/>
    <xf numFmtId="167" fontId="0" fillId="0" borderId="14" xfId="0" applyNumberFormat="1" applyBorder="1"/>
    <xf numFmtId="167" fontId="0" fillId="0" borderId="17" xfId="0" applyNumberFormat="1" applyBorder="1"/>
    <xf numFmtId="167" fontId="0" fillId="0" borderId="23" xfId="0" applyNumberFormat="1" applyBorder="1"/>
    <xf numFmtId="0" fontId="0" fillId="0" borderId="11" xfId="0" pivotButton="1" applyBorder="1"/>
    <xf numFmtId="0" fontId="0" fillId="0" borderId="13" xfId="0" pivotButton="1" applyBorder="1"/>
    <xf numFmtId="0" fontId="0" fillId="0" borderId="0" xfId="0"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
    <dxf>
      <font>
        <color theme="1"/>
      </font>
      <fill>
        <patternFill>
          <bgColor rgb="FFFFC000"/>
        </patternFill>
      </fill>
    </dxf>
    <dxf>
      <font>
        <color rgb="FFFFC000"/>
      </font>
      <fill>
        <patternFill>
          <bgColor rgb="FFFFC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2" defaultTableStyle="TableStyleMedium2" defaultPivotStyle="PivotStyleLight16">
    <tableStyle name="Slicer Style 1" pivot="0" table="0" count="1" xr9:uid="{8D2BB0BA-100C-468F-B442-7472C30EA146}">
      <tableStyleElement type="wholeTable" dxfId="1"/>
    </tableStyle>
    <tableStyle name="Slicer Style 2" pivot="0" table="0" count="1" xr9:uid="{F05E3B1C-E823-415E-91EE-EBCF968CAFA6}">
      <tableStyleElement type="wholeTable" dxfId="0"/>
    </tableStyle>
  </tableStyles>
  <colors>
    <mruColors>
      <color rgb="FFFFD200"/>
      <color rgb="FFFFFF00"/>
      <color rgb="FFD09E00"/>
      <color rgb="FFCCE32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 DESIGN'!$A$12:$A$13</c:f>
              <c:strCache>
                <c:ptCount val="2"/>
                <c:pt idx="0">
                  <c:v>Low Fat</c:v>
                </c:pt>
                <c:pt idx="1">
                  <c:v>Regular</c:v>
                </c:pt>
              </c:strCache>
            </c:strRef>
          </c:cat>
          <c:val>
            <c:numRef>
              <c:f>'SHEET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0-65FD-4420-BBF2-B8BEFA5A8AD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4340955452"/>
          <c:y val="0.3279326811296121"/>
          <c:w val="0.8228685748999921"/>
          <c:h val="0.54714109419991785"/>
        </c:manualLayout>
      </c:layout>
      <c:barChart>
        <c:barDir val="bar"/>
        <c:grouping val="clustered"/>
        <c:varyColors val="0"/>
        <c:ser>
          <c:idx val="0"/>
          <c:order val="0"/>
          <c:tx>
            <c:strRef>
              <c:f>'SHEET DESIGN'!$B$17:$B$18</c:f>
              <c:strCache>
                <c:ptCount val="1"/>
                <c:pt idx="0">
                  <c:v>Regular</c:v>
                </c:pt>
              </c:strCache>
            </c:strRef>
          </c:tx>
          <c:spPr>
            <a:solidFill>
              <a:schemeClr val="accent1"/>
            </a:solidFill>
            <a:ln>
              <a:noFill/>
            </a:ln>
            <a:effectLst/>
          </c:spPr>
          <c:invertIfNegative val="0"/>
          <c:cat>
            <c:strRef>
              <c:f>'SHEET DESIGN'!$A$19:$A$21</c:f>
              <c:strCache>
                <c:ptCount val="3"/>
                <c:pt idx="0">
                  <c:v>Tier 1</c:v>
                </c:pt>
                <c:pt idx="1">
                  <c:v>Tier 2</c:v>
                </c:pt>
                <c:pt idx="2">
                  <c:v>Tier 3</c:v>
                </c:pt>
              </c:strCache>
            </c:strRef>
          </c:cat>
          <c:val>
            <c:numRef>
              <c:f>'SHEET DESIGN'!$B$19:$B$21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6A0-4591-ABBC-C13EB88C8C09}"/>
            </c:ext>
          </c:extLst>
        </c:ser>
        <c:ser>
          <c:idx val="1"/>
          <c:order val="1"/>
          <c:tx>
            <c:strRef>
              <c:f>'SHEET DESIGN'!$C$17:$C$18</c:f>
              <c:strCache>
                <c:ptCount val="1"/>
                <c:pt idx="0">
                  <c:v>Low Fat</c:v>
                </c:pt>
              </c:strCache>
            </c:strRef>
          </c:tx>
          <c:spPr>
            <a:solidFill>
              <a:schemeClr val="accent2"/>
            </a:solidFill>
            <a:ln>
              <a:noFill/>
            </a:ln>
            <a:effectLst/>
          </c:spPr>
          <c:invertIfNegative val="0"/>
          <c:cat>
            <c:strRef>
              <c:f>'SHEET DESIGN'!$A$19:$A$21</c:f>
              <c:strCache>
                <c:ptCount val="3"/>
                <c:pt idx="0">
                  <c:v>Tier 1</c:v>
                </c:pt>
                <c:pt idx="1">
                  <c:v>Tier 2</c:v>
                </c:pt>
                <c:pt idx="2">
                  <c:v>Tier 3</c:v>
                </c:pt>
              </c:strCache>
            </c:strRef>
          </c:cat>
          <c:val>
            <c:numRef>
              <c:f>'SHEET DESIGN'!$C$19:$C$21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6A0-4591-ABBC-C13EB88C8C09}"/>
            </c:ext>
          </c:extLst>
        </c:ser>
        <c:dLbls>
          <c:showLegendKey val="0"/>
          <c:showVal val="0"/>
          <c:showCatName val="0"/>
          <c:showSerName val="0"/>
          <c:showPercent val="0"/>
          <c:showBubbleSize val="0"/>
        </c:dLbls>
        <c:gapWidth val="182"/>
        <c:axId val="1131380864"/>
        <c:axId val="1368335248"/>
      </c:barChart>
      <c:catAx>
        <c:axId val="1131380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335248"/>
        <c:crosses val="autoZero"/>
        <c:auto val="1"/>
        <c:lblAlgn val="ctr"/>
        <c:lblOffset val="100"/>
        <c:noMultiLvlLbl val="0"/>
      </c:catAx>
      <c:valAx>
        <c:axId val="1368335248"/>
        <c:scaling>
          <c:orientation val="minMax"/>
        </c:scaling>
        <c:delete val="1"/>
        <c:axPos val="b"/>
        <c:numFmt formatCode="&quot;$&quot;0.0,&quot;K&quot;" sourceLinked="1"/>
        <c:majorTickMark val="none"/>
        <c:minorTickMark val="none"/>
        <c:tickLblPos val="nextTo"/>
        <c:crossAx val="11313808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DESIGN'!$B$27</c:f>
              <c:strCache>
                <c:ptCount val="1"/>
                <c:pt idx="0">
                  <c:v>Total</c:v>
                </c:pt>
              </c:strCache>
            </c:strRef>
          </c:tx>
          <c:spPr>
            <a:solidFill>
              <a:schemeClr val="accent1"/>
            </a:solidFill>
            <a:ln>
              <a:noFill/>
            </a:ln>
            <a:effectLst/>
          </c:spPr>
          <c:invertIfNegative val="0"/>
          <c:cat>
            <c:strRef>
              <c:f>'SHEET DESIGN'!$A$28:$A$43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DESIGN'!$B$28:$B$43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B50-4504-A40D-5E166C5585C1}"/>
            </c:ext>
          </c:extLst>
        </c:ser>
        <c:dLbls>
          <c:showLegendKey val="0"/>
          <c:showVal val="0"/>
          <c:showCatName val="0"/>
          <c:showSerName val="0"/>
          <c:showPercent val="0"/>
          <c:showBubbleSize val="0"/>
        </c:dLbls>
        <c:gapWidth val="182"/>
        <c:axId val="1435309200"/>
        <c:axId val="786344432"/>
      </c:barChart>
      <c:catAx>
        <c:axId val="1435309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344432"/>
        <c:crosses val="autoZero"/>
        <c:auto val="1"/>
        <c:lblAlgn val="ctr"/>
        <c:lblOffset val="100"/>
        <c:noMultiLvlLbl val="0"/>
      </c:catAx>
      <c:valAx>
        <c:axId val="786344432"/>
        <c:scaling>
          <c:orientation val="minMax"/>
        </c:scaling>
        <c:delete val="1"/>
        <c:axPos val="b"/>
        <c:numFmt formatCode="&quot;$&quot;0.0,&quot;K&quot;" sourceLinked="1"/>
        <c:majorTickMark val="none"/>
        <c:minorTickMark val="none"/>
        <c:tickLblPos val="nextTo"/>
        <c:crossAx val="143530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DESIGN!PivotTable6</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DESIGN'!$B$51</c:f>
              <c:strCache>
                <c:ptCount val="1"/>
                <c:pt idx="0">
                  <c:v>Total</c:v>
                </c:pt>
              </c:strCache>
            </c:strRef>
          </c:tx>
          <c:spPr>
            <a:solidFill>
              <a:schemeClr val="accent1"/>
            </a:solidFill>
            <a:ln>
              <a:noFill/>
            </a:ln>
            <a:effectLst/>
          </c:spPr>
          <c:cat>
            <c:strRef>
              <c:f>'SHEET DESIGN'!$A$52:$A$60</c:f>
              <c:strCache>
                <c:ptCount val="9"/>
                <c:pt idx="0">
                  <c:v>2011</c:v>
                </c:pt>
                <c:pt idx="1">
                  <c:v>2020</c:v>
                </c:pt>
                <c:pt idx="2">
                  <c:v>2012</c:v>
                </c:pt>
                <c:pt idx="3">
                  <c:v>2015</c:v>
                </c:pt>
                <c:pt idx="4">
                  <c:v>2022</c:v>
                </c:pt>
                <c:pt idx="5">
                  <c:v>2014</c:v>
                </c:pt>
                <c:pt idx="6">
                  <c:v>2016</c:v>
                </c:pt>
                <c:pt idx="7">
                  <c:v>2017</c:v>
                </c:pt>
                <c:pt idx="8">
                  <c:v>2018</c:v>
                </c:pt>
              </c:strCache>
            </c:strRef>
          </c:cat>
          <c:val>
            <c:numRef>
              <c:f>'SHEET DESIGN'!$B$52:$B$60</c:f>
              <c:numCache>
                <c:formatCode>"$"0.0,"K"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6F6F-42D8-8FE6-E8335B1BE25D}"/>
            </c:ext>
          </c:extLst>
        </c:ser>
        <c:dLbls>
          <c:showLegendKey val="0"/>
          <c:showVal val="0"/>
          <c:showCatName val="0"/>
          <c:showSerName val="0"/>
          <c:showPercent val="0"/>
          <c:showBubbleSize val="0"/>
        </c:dLbls>
        <c:axId val="1378754272"/>
        <c:axId val="1208903376"/>
      </c:areaChart>
      <c:catAx>
        <c:axId val="1378754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903376"/>
        <c:crosses val="autoZero"/>
        <c:auto val="1"/>
        <c:lblAlgn val="ctr"/>
        <c:lblOffset val="100"/>
        <c:noMultiLvlLbl val="0"/>
      </c:catAx>
      <c:valAx>
        <c:axId val="1208903376"/>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7542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DESIGN!PivotTable7</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DESIGN'!$B$66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DESIGN'!$A$67:$A$69</c:f>
              <c:strCache>
                <c:ptCount val="3"/>
                <c:pt idx="0">
                  <c:v>High</c:v>
                </c:pt>
                <c:pt idx="1">
                  <c:v>Medium</c:v>
                </c:pt>
                <c:pt idx="2">
                  <c:v>Small</c:v>
                </c:pt>
              </c:strCache>
            </c:strRef>
          </c:cat>
          <c:val>
            <c:numRef>
              <c:f>'SHEET DESIGN'!$B$67:$B$69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8C57-4FCA-A007-8CAFC3532ED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DESIGN!PivotTable9</c:name>
    <c:fmtId val="2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 DESIGN'!$B$85</c:f>
              <c:strCache>
                <c:ptCount val="1"/>
                <c:pt idx="0">
                  <c:v>Total</c:v>
                </c:pt>
              </c:strCache>
            </c:strRef>
          </c:tx>
          <c:spPr>
            <a:solidFill>
              <a:schemeClr val="accent1"/>
            </a:solidFill>
            <a:ln>
              <a:noFill/>
            </a:ln>
            <a:effectLst/>
            <a:sp3d/>
          </c:spPr>
          <c:invertIfNegative val="0"/>
          <c:cat>
            <c:strRef>
              <c:f>'SHEET DESIGN'!$A$86:$A$89</c:f>
              <c:strCache>
                <c:ptCount val="4"/>
                <c:pt idx="0">
                  <c:v>Supermarket Type1</c:v>
                </c:pt>
                <c:pt idx="1">
                  <c:v>Grocery Store</c:v>
                </c:pt>
                <c:pt idx="2">
                  <c:v>Supermarket Type2</c:v>
                </c:pt>
                <c:pt idx="3">
                  <c:v>Supermarket Type3</c:v>
                </c:pt>
              </c:strCache>
            </c:strRef>
          </c:cat>
          <c:val>
            <c:numRef>
              <c:f>'SHEET DESIGN'!$B$86:$B$89</c:f>
              <c:numCache>
                <c:formatCode>"$"0.0,"K"</c:formatCode>
                <c:ptCount val="4"/>
                <c:pt idx="0">
                  <c:v>787549.89280000131</c:v>
                </c:pt>
                <c:pt idx="1">
                  <c:v>151939.149</c:v>
                </c:pt>
                <c:pt idx="2">
                  <c:v>131477.77639999994</c:v>
                </c:pt>
                <c:pt idx="3">
                  <c:v>130714.67460000006</c:v>
                </c:pt>
              </c:numCache>
            </c:numRef>
          </c:val>
          <c:extLst>
            <c:ext xmlns:c16="http://schemas.microsoft.com/office/drawing/2014/chart" uri="{C3380CC4-5D6E-409C-BE32-E72D297353CC}">
              <c16:uniqueId val="{00000000-7518-4037-878F-42D8A95364A2}"/>
            </c:ext>
          </c:extLst>
        </c:ser>
        <c:dLbls>
          <c:showLegendKey val="0"/>
          <c:showVal val="0"/>
          <c:showCatName val="0"/>
          <c:showSerName val="0"/>
          <c:showPercent val="0"/>
          <c:showBubbleSize val="0"/>
        </c:dLbls>
        <c:gapWidth val="150"/>
        <c:shape val="box"/>
        <c:axId val="1562273088"/>
        <c:axId val="1208940336"/>
        <c:axId val="0"/>
      </c:bar3DChart>
      <c:catAx>
        <c:axId val="1562273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940336"/>
        <c:crosses val="autoZero"/>
        <c:auto val="1"/>
        <c:lblAlgn val="ctr"/>
        <c:lblOffset val="100"/>
        <c:noMultiLvlLbl val="0"/>
      </c:catAx>
      <c:valAx>
        <c:axId val="1208940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27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accent6">
                <a:lumMod val="75000"/>
              </a:schemeClr>
            </a:solid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accent6">
                <a:lumMod val="75000"/>
              </a:schemeClr>
            </a:solidFill>
          </a:ln>
          <a:effectLst/>
        </c:spPr>
        <c:dLbl>
          <c:idx val="0"/>
          <c:numFmt formatCode="0.0%"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143446180555556"/>
                  <c:h val="0.12869642494413974"/>
                </c:manualLayout>
              </c15:layout>
            </c:ext>
          </c:extLst>
        </c:dLbl>
      </c:pivotFmt>
      <c:pivotFmt>
        <c:idx val="6"/>
        <c:spPr>
          <a:solidFill>
            <a:schemeClr val="accent6">
              <a:lumMod val="75000"/>
            </a:schemeClr>
          </a:solidFill>
          <a:ln w="19050">
            <a:solidFill>
              <a:schemeClr val="accent6">
                <a:lumMod val="75000"/>
              </a:schemeClr>
            </a:solid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42115624999999995"/>
                  <c:h val="0.26738878732480192"/>
                </c:manualLayout>
              </c15:layout>
            </c:ext>
          </c:extLst>
        </c:dLbl>
      </c:pivotFmt>
    </c:pivotFmts>
    <c:plotArea>
      <c:layout>
        <c:manualLayout>
          <c:layoutTarget val="inner"/>
          <c:xMode val="edge"/>
          <c:yMode val="edge"/>
          <c:x val="0.12060503472222225"/>
          <c:y val="0.14276406662604102"/>
          <c:w val="0.70418095537974867"/>
          <c:h val="0.79917313084191766"/>
        </c:manualLayout>
      </c:layout>
      <c:doughnutChart>
        <c:varyColors val="1"/>
        <c:ser>
          <c:idx val="0"/>
          <c:order val="0"/>
          <c:tx>
            <c:strRef>
              <c:f>'SHEET DESIGN'!$B$11</c:f>
              <c:strCache>
                <c:ptCount val="1"/>
                <c:pt idx="0">
                  <c:v>Total</c:v>
                </c:pt>
              </c:strCache>
            </c:strRef>
          </c:tx>
          <c:spPr>
            <a:ln>
              <a:solidFill>
                <a:schemeClr val="accent6">
                  <a:lumMod val="75000"/>
                </a:schemeClr>
              </a:solidFill>
            </a:ln>
          </c:spPr>
          <c:dPt>
            <c:idx val="0"/>
            <c:bubble3D val="0"/>
            <c:spPr>
              <a:solidFill>
                <a:srgbClr val="D09E00"/>
              </a:solidFill>
              <a:ln w="19050">
                <a:solidFill>
                  <a:schemeClr val="accent6">
                    <a:lumMod val="75000"/>
                  </a:schemeClr>
                </a:solidFill>
              </a:ln>
              <a:effectLst/>
            </c:spPr>
            <c:extLst>
              <c:ext xmlns:c16="http://schemas.microsoft.com/office/drawing/2014/chart" uri="{C3380CC4-5D6E-409C-BE32-E72D297353CC}">
                <c16:uniqueId val="{00000001-87BD-4620-900D-81E9B901515A}"/>
              </c:ext>
            </c:extLst>
          </c:dPt>
          <c:dPt>
            <c:idx val="1"/>
            <c:bubble3D val="0"/>
            <c:spPr>
              <a:solidFill>
                <a:schemeClr val="accent6">
                  <a:lumMod val="75000"/>
                </a:schemeClr>
              </a:solidFill>
              <a:ln w="19050">
                <a:solidFill>
                  <a:schemeClr val="accent6">
                    <a:lumMod val="75000"/>
                  </a:schemeClr>
                </a:solidFill>
              </a:ln>
              <a:effectLst/>
            </c:spPr>
            <c:extLst>
              <c:ext xmlns:c16="http://schemas.microsoft.com/office/drawing/2014/chart" uri="{C3380CC4-5D6E-409C-BE32-E72D297353CC}">
                <c16:uniqueId val="{00000003-87BD-4620-900D-81E9B901515A}"/>
              </c:ext>
            </c:extLst>
          </c:dPt>
          <c:dLbls>
            <c:dLbl>
              <c:idx val="0"/>
              <c:numFmt formatCode="0.0%"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143446180555556"/>
                      <c:h val="0.12869642494413974"/>
                    </c:manualLayout>
                  </c15:layout>
                </c:ext>
                <c:ext xmlns:c16="http://schemas.microsoft.com/office/drawing/2014/chart" uri="{C3380CC4-5D6E-409C-BE32-E72D297353CC}">
                  <c16:uniqueId val="{00000001-87BD-4620-900D-81E9B901515A}"/>
                </c:ext>
              </c:extLst>
            </c:dLbl>
            <c:dLbl>
              <c:idx val="1"/>
              <c:showLegendKey val="0"/>
              <c:showVal val="1"/>
              <c:showCatName val="0"/>
              <c:showSerName val="0"/>
              <c:showPercent val="1"/>
              <c:showBubbleSize val="0"/>
              <c:extLst>
                <c:ext xmlns:c15="http://schemas.microsoft.com/office/drawing/2012/chart" uri="{CE6537A1-D6FC-4f65-9D91-7224C49458BB}">
                  <c15:layout>
                    <c:manualLayout>
                      <c:w val="0.42115624999999995"/>
                      <c:h val="0.26738878732480192"/>
                    </c:manualLayout>
                  </c15:layout>
                </c:ext>
                <c:ext xmlns:c16="http://schemas.microsoft.com/office/drawing/2014/chart" uri="{C3380CC4-5D6E-409C-BE32-E72D297353CC}">
                  <c16:uniqueId val="{00000003-87BD-4620-900D-81E9B901515A}"/>
                </c:ext>
              </c:extLst>
            </c:dLbl>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DESIGN'!$A$12:$A$13</c:f>
              <c:strCache>
                <c:ptCount val="2"/>
                <c:pt idx="0">
                  <c:v>Low Fat</c:v>
                </c:pt>
                <c:pt idx="1">
                  <c:v>Regular</c:v>
                </c:pt>
              </c:strCache>
            </c:strRef>
          </c:cat>
          <c:val>
            <c:numRef>
              <c:f>'SHEET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4-87BD-4620-900D-81E9B901515A}"/>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4340955452"/>
          <c:y val="0.20793256567991089"/>
          <c:w val="0.8228685748999921"/>
          <c:h val="0.66714083982034023"/>
        </c:manualLayout>
      </c:layout>
      <c:barChart>
        <c:barDir val="bar"/>
        <c:grouping val="clustered"/>
        <c:varyColors val="0"/>
        <c:ser>
          <c:idx val="0"/>
          <c:order val="0"/>
          <c:tx>
            <c:strRef>
              <c:f>'SHEET DESIGN'!$B$17:$B$18</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DESIGN'!$A$19:$A$21</c:f>
              <c:strCache>
                <c:ptCount val="3"/>
                <c:pt idx="0">
                  <c:v>Tier 1</c:v>
                </c:pt>
                <c:pt idx="1">
                  <c:v>Tier 2</c:v>
                </c:pt>
                <c:pt idx="2">
                  <c:v>Tier 3</c:v>
                </c:pt>
              </c:strCache>
            </c:strRef>
          </c:cat>
          <c:val>
            <c:numRef>
              <c:f>'SHEET DESIGN'!$B$19:$B$21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445B-4159-9410-74C920ECC5CD}"/>
            </c:ext>
          </c:extLst>
        </c:ser>
        <c:ser>
          <c:idx val="1"/>
          <c:order val="1"/>
          <c:tx>
            <c:strRef>
              <c:f>'SHEET DESIGN'!$C$17:$C$18</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DESIGN'!$A$19:$A$21</c:f>
              <c:strCache>
                <c:ptCount val="3"/>
                <c:pt idx="0">
                  <c:v>Tier 1</c:v>
                </c:pt>
                <c:pt idx="1">
                  <c:v>Tier 2</c:v>
                </c:pt>
                <c:pt idx="2">
                  <c:v>Tier 3</c:v>
                </c:pt>
              </c:strCache>
            </c:strRef>
          </c:cat>
          <c:val>
            <c:numRef>
              <c:f>'SHEET DESIGN'!$C$19:$C$21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445B-4159-9410-74C920ECC5CD}"/>
            </c:ext>
          </c:extLst>
        </c:ser>
        <c:dLbls>
          <c:dLblPos val="outEnd"/>
          <c:showLegendKey val="0"/>
          <c:showVal val="1"/>
          <c:showCatName val="0"/>
          <c:showSerName val="0"/>
          <c:showPercent val="0"/>
          <c:showBubbleSize val="0"/>
        </c:dLbls>
        <c:gapWidth val="60"/>
        <c:axId val="1131380864"/>
        <c:axId val="1368335248"/>
      </c:barChart>
      <c:catAx>
        <c:axId val="1131380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335248"/>
        <c:crosses val="autoZero"/>
        <c:auto val="1"/>
        <c:lblAlgn val="ctr"/>
        <c:lblOffset val="100"/>
        <c:noMultiLvlLbl val="0"/>
      </c:catAx>
      <c:valAx>
        <c:axId val="1368335248"/>
        <c:scaling>
          <c:orientation val="minMax"/>
        </c:scaling>
        <c:delete val="1"/>
        <c:axPos val="b"/>
        <c:numFmt formatCode="&quot;$&quot;0.0,&quot;K&quot;" sourceLinked="1"/>
        <c:majorTickMark val="none"/>
        <c:minorTickMark val="none"/>
        <c:tickLblPos val="nextTo"/>
        <c:crossAx val="11313808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DESIGN'!$B$27</c:f>
              <c:strCache>
                <c:ptCount val="1"/>
                <c:pt idx="0">
                  <c:v>Total</c:v>
                </c:pt>
              </c:strCache>
            </c:strRef>
          </c:tx>
          <c:spPr>
            <a:solidFill>
              <a:schemeClr val="accent4">
                <a:lumMod val="75000"/>
              </a:schemeClr>
            </a:solidFill>
            <a:ln>
              <a:noFill/>
            </a:ln>
            <a:effectLst/>
          </c:spPr>
          <c:invertIfNegative val="0"/>
          <c:cat>
            <c:strRef>
              <c:f>'SHEET DESIGN'!$A$28:$A$43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DESIGN'!$B$28:$B$43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DFB-4B5C-8578-6B1555FA4B7B}"/>
            </c:ext>
          </c:extLst>
        </c:ser>
        <c:dLbls>
          <c:showLegendKey val="0"/>
          <c:showVal val="0"/>
          <c:showCatName val="0"/>
          <c:showSerName val="0"/>
          <c:showPercent val="0"/>
          <c:showBubbleSize val="0"/>
        </c:dLbls>
        <c:gapWidth val="52"/>
        <c:axId val="1435309200"/>
        <c:axId val="786344432"/>
      </c:barChart>
      <c:catAx>
        <c:axId val="1435309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344432"/>
        <c:crosses val="autoZero"/>
        <c:auto val="1"/>
        <c:lblAlgn val="ctr"/>
        <c:lblOffset val="100"/>
        <c:noMultiLvlLbl val="0"/>
      </c:catAx>
      <c:valAx>
        <c:axId val="786344432"/>
        <c:scaling>
          <c:orientation val="minMax"/>
        </c:scaling>
        <c:delete val="1"/>
        <c:axPos val="b"/>
        <c:numFmt formatCode="&quot;$&quot;0.0,&quot;K&quot;" sourceLinked="1"/>
        <c:majorTickMark val="none"/>
        <c:minorTickMark val="none"/>
        <c:tickLblPos val="nextTo"/>
        <c:crossAx val="143530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DESIGN'!$B$51</c:f>
              <c:strCache>
                <c:ptCount val="1"/>
                <c:pt idx="0">
                  <c:v>Total</c:v>
                </c:pt>
              </c:strCache>
            </c:strRef>
          </c:tx>
          <c:spPr>
            <a:solidFill>
              <a:schemeClr val="accent4">
                <a:lumMod val="60000"/>
                <a:lumOff val="40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DESIGN'!$A$52:$A$60</c:f>
              <c:strCache>
                <c:ptCount val="9"/>
                <c:pt idx="0">
                  <c:v>2011</c:v>
                </c:pt>
                <c:pt idx="1">
                  <c:v>2020</c:v>
                </c:pt>
                <c:pt idx="2">
                  <c:v>2012</c:v>
                </c:pt>
                <c:pt idx="3">
                  <c:v>2015</c:v>
                </c:pt>
                <c:pt idx="4">
                  <c:v>2022</c:v>
                </c:pt>
                <c:pt idx="5">
                  <c:v>2014</c:v>
                </c:pt>
                <c:pt idx="6">
                  <c:v>2016</c:v>
                </c:pt>
                <c:pt idx="7">
                  <c:v>2017</c:v>
                </c:pt>
                <c:pt idx="8">
                  <c:v>2018</c:v>
                </c:pt>
              </c:strCache>
            </c:strRef>
          </c:cat>
          <c:val>
            <c:numRef>
              <c:f>'SHEET DESIGN'!$B$52:$B$60</c:f>
              <c:numCache>
                <c:formatCode>"$"0.0,"K"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6F6F-42D8-8FE6-E8335B1BE25D}"/>
            </c:ext>
          </c:extLst>
        </c:ser>
        <c:dLbls>
          <c:showLegendKey val="0"/>
          <c:showVal val="1"/>
          <c:showCatName val="0"/>
          <c:showSerName val="0"/>
          <c:showPercent val="0"/>
          <c:showBubbleSize val="0"/>
        </c:dLbls>
        <c:axId val="1378754272"/>
        <c:axId val="1208903376"/>
      </c:areaChart>
      <c:catAx>
        <c:axId val="1378754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903376"/>
        <c:crosses val="autoZero"/>
        <c:auto val="1"/>
        <c:lblAlgn val="ctr"/>
        <c:lblOffset val="100"/>
        <c:noMultiLvlLbl val="0"/>
      </c:catAx>
      <c:valAx>
        <c:axId val="1208903376"/>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7542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DESIGN!PivotTable7</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pivotFmt>
      <c:pivotFmt>
        <c:idx val="7"/>
        <c:spPr>
          <a:solidFill>
            <a:schemeClr val="accent6">
              <a:lumMod val="40000"/>
              <a:lumOff val="60000"/>
            </a:schemeClr>
          </a:solidFill>
          <a:ln w="19050">
            <a:solidFill>
              <a:schemeClr val="lt1"/>
            </a:solidFill>
          </a:ln>
          <a:effectLst/>
        </c:spPr>
      </c:pivotFmt>
      <c:pivotFmt>
        <c:idx val="8"/>
        <c:spPr>
          <a:solidFill>
            <a:schemeClr val="accent6">
              <a:lumMod val="75000"/>
            </a:schemeClr>
          </a:solidFill>
          <a:ln w="19050">
            <a:solidFill>
              <a:schemeClr val="lt1"/>
            </a:solidFill>
          </a:ln>
          <a:effectLst/>
        </c:spPr>
      </c:pivotFmt>
    </c:pivotFmts>
    <c:plotArea>
      <c:layout>
        <c:manualLayout>
          <c:layoutTarget val="inner"/>
          <c:xMode val="edge"/>
          <c:yMode val="edge"/>
          <c:x val="0.25576785882542974"/>
          <c:y val="0.20898246070326668"/>
          <c:w val="0.5027104374838286"/>
          <c:h val="0.71656253447607821"/>
        </c:manualLayout>
      </c:layout>
      <c:doughnutChart>
        <c:varyColors val="1"/>
        <c:ser>
          <c:idx val="0"/>
          <c:order val="0"/>
          <c:tx>
            <c:strRef>
              <c:f>'SHEET DESIGN'!$B$66</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0754-4851-BEC2-B1D8970689B3}"/>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0754-4851-BEC2-B1D8970689B3}"/>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0754-4851-BEC2-B1D8970689B3}"/>
              </c:ext>
            </c:extLst>
          </c:dPt>
          <c:cat>
            <c:strRef>
              <c:f>'SHEET DESIGN'!$A$67:$A$69</c:f>
              <c:strCache>
                <c:ptCount val="3"/>
                <c:pt idx="0">
                  <c:v>High</c:v>
                </c:pt>
                <c:pt idx="1">
                  <c:v>Medium</c:v>
                </c:pt>
                <c:pt idx="2">
                  <c:v>Small</c:v>
                </c:pt>
              </c:strCache>
            </c:strRef>
          </c:cat>
          <c:val>
            <c:numRef>
              <c:f>'SHEET DESIGN'!$B$67:$B$69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0754-4851-BEC2-B1D8970689B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DESIGN!PivotTable9</c:name>
    <c:fmtId val="2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E325"/>
          </a:solidFill>
          <a:ln>
            <a:noFill/>
          </a:ln>
          <a:effectLst/>
          <a:sp3d/>
        </c:spPr>
      </c:pivotFmt>
      <c:pivotFmt>
        <c:idx val="4"/>
        <c:spPr>
          <a:solidFill>
            <a:srgbClr val="D09E00"/>
          </a:solidFill>
          <a:ln>
            <a:noFill/>
          </a:ln>
          <a:effectLst/>
          <a:sp3d/>
        </c:spPr>
      </c:pivotFmt>
      <c:pivotFmt>
        <c:idx val="5"/>
        <c:spPr>
          <a:solidFill>
            <a:srgbClr val="FFD200"/>
          </a:solidFill>
          <a:ln>
            <a:noFill/>
          </a:ln>
          <a:effectLst/>
          <a:sp3d/>
        </c:spPr>
      </c:pivotFmt>
      <c:pivotFmt>
        <c:idx val="6"/>
        <c:spPr>
          <a:solidFill>
            <a:srgbClr val="FFFF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769830253807617"/>
          <c:y val="3.1244387051462423E-2"/>
          <c:w val="0.82230169746192383"/>
          <c:h val="0.742973204315582"/>
        </c:manualLayout>
      </c:layout>
      <c:bar3DChart>
        <c:barDir val="col"/>
        <c:grouping val="clustered"/>
        <c:varyColors val="0"/>
        <c:ser>
          <c:idx val="0"/>
          <c:order val="0"/>
          <c:tx>
            <c:strRef>
              <c:f>'SHEET DESIGN'!$B$85</c:f>
              <c:strCache>
                <c:ptCount val="1"/>
                <c:pt idx="0">
                  <c:v>Total</c:v>
                </c:pt>
              </c:strCache>
            </c:strRef>
          </c:tx>
          <c:spPr>
            <a:solidFill>
              <a:schemeClr val="accent1"/>
            </a:solidFill>
            <a:ln>
              <a:noFill/>
            </a:ln>
            <a:effectLst/>
            <a:sp3d/>
          </c:spPr>
          <c:invertIfNegative val="0"/>
          <c:dPt>
            <c:idx val="0"/>
            <c:invertIfNegative val="0"/>
            <c:bubble3D val="0"/>
            <c:spPr>
              <a:solidFill>
                <a:srgbClr val="FFD200"/>
              </a:solidFill>
              <a:ln>
                <a:noFill/>
              </a:ln>
              <a:effectLst/>
              <a:sp3d/>
            </c:spPr>
            <c:extLst>
              <c:ext xmlns:c16="http://schemas.microsoft.com/office/drawing/2014/chart" uri="{C3380CC4-5D6E-409C-BE32-E72D297353CC}">
                <c16:uniqueId val="{00000003-12E5-4FE8-97FD-95CC378F0CBE}"/>
              </c:ext>
            </c:extLst>
          </c:dPt>
          <c:dPt>
            <c:idx val="1"/>
            <c:invertIfNegative val="0"/>
            <c:bubble3D val="0"/>
            <c:spPr>
              <a:solidFill>
                <a:srgbClr val="FFFF00"/>
              </a:solidFill>
              <a:ln>
                <a:noFill/>
              </a:ln>
              <a:effectLst/>
              <a:sp3d/>
            </c:spPr>
            <c:extLst>
              <c:ext xmlns:c16="http://schemas.microsoft.com/office/drawing/2014/chart" uri="{C3380CC4-5D6E-409C-BE32-E72D297353CC}">
                <c16:uniqueId val="{00000004-12E5-4FE8-97FD-95CC378F0CBE}"/>
              </c:ext>
            </c:extLst>
          </c:dPt>
          <c:dPt>
            <c:idx val="2"/>
            <c:invertIfNegative val="0"/>
            <c:bubble3D val="0"/>
            <c:spPr>
              <a:solidFill>
                <a:srgbClr val="D09E00"/>
              </a:solidFill>
              <a:ln>
                <a:noFill/>
              </a:ln>
              <a:effectLst/>
              <a:sp3d/>
            </c:spPr>
            <c:extLst>
              <c:ext xmlns:c16="http://schemas.microsoft.com/office/drawing/2014/chart" uri="{C3380CC4-5D6E-409C-BE32-E72D297353CC}">
                <c16:uniqueId val="{00000002-12E5-4FE8-97FD-95CC378F0CBE}"/>
              </c:ext>
            </c:extLst>
          </c:dPt>
          <c:dPt>
            <c:idx val="3"/>
            <c:invertIfNegative val="0"/>
            <c:bubble3D val="0"/>
            <c:spPr>
              <a:solidFill>
                <a:srgbClr val="CCE325"/>
              </a:solidFill>
              <a:ln>
                <a:noFill/>
              </a:ln>
              <a:effectLst/>
              <a:sp3d/>
            </c:spPr>
            <c:extLst>
              <c:ext xmlns:c16="http://schemas.microsoft.com/office/drawing/2014/chart" uri="{C3380CC4-5D6E-409C-BE32-E72D297353CC}">
                <c16:uniqueId val="{00000001-12E5-4FE8-97FD-95CC378F0C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DESIGN'!$A$86:$A$89</c:f>
              <c:strCache>
                <c:ptCount val="4"/>
                <c:pt idx="0">
                  <c:v>Supermarket Type1</c:v>
                </c:pt>
                <c:pt idx="1">
                  <c:v>Grocery Store</c:v>
                </c:pt>
                <c:pt idx="2">
                  <c:v>Supermarket Type2</c:v>
                </c:pt>
                <c:pt idx="3">
                  <c:v>Supermarket Type3</c:v>
                </c:pt>
              </c:strCache>
            </c:strRef>
          </c:cat>
          <c:val>
            <c:numRef>
              <c:f>'SHEET DESIGN'!$B$86:$B$89</c:f>
              <c:numCache>
                <c:formatCode>"$"0.0,"K"</c:formatCode>
                <c:ptCount val="4"/>
                <c:pt idx="0">
                  <c:v>787549.89280000131</c:v>
                </c:pt>
                <c:pt idx="1">
                  <c:v>151939.149</c:v>
                </c:pt>
                <c:pt idx="2">
                  <c:v>131477.77639999994</c:v>
                </c:pt>
                <c:pt idx="3">
                  <c:v>130714.67460000006</c:v>
                </c:pt>
              </c:numCache>
            </c:numRef>
          </c:val>
          <c:extLst>
            <c:ext xmlns:c16="http://schemas.microsoft.com/office/drawing/2014/chart" uri="{C3380CC4-5D6E-409C-BE32-E72D297353CC}">
              <c16:uniqueId val="{00000000-12E5-4FE8-97FD-95CC378F0CBE}"/>
            </c:ext>
          </c:extLst>
        </c:ser>
        <c:dLbls>
          <c:showLegendKey val="0"/>
          <c:showVal val="1"/>
          <c:showCatName val="0"/>
          <c:showSerName val="0"/>
          <c:showPercent val="0"/>
          <c:showBubbleSize val="0"/>
        </c:dLbls>
        <c:gapWidth val="150"/>
        <c:shape val="box"/>
        <c:axId val="1562273088"/>
        <c:axId val="1208940336"/>
        <c:axId val="0"/>
      </c:bar3DChart>
      <c:catAx>
        <c:axId val="1562273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08940336"/>
        <c:crosses val="autoZero"/>
        <c:auto val="1"/>
        <c:lblAlgn val="ctr"/>
        <c:lblOffset val="100"/>
        <c:noMultiLvlLbl val="0"/>
      </c:catAx>
      <c:valAx>
        <c:axId val="1208940336"/>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56227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00000000-A9E4-4F86-AFA0-F0C95463D67B}">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00000000-A9E4-4F86-AFA0-F0C95463D67B}">
          <cx:spPr>
            <a:solidFill>
              <a:schemeClr val="accent6">
                <a:lumMod val="75000"/>
              </a:schemeClr>
            </a:solidFill>
          </cx:spPr>
          <cx:dataLabels>
            <cx:txPr>
              <a:bodyPr spcFirstLastPara="1" vertOverflow="ellipsis" horzOverflow="overflow" wrap="square" lIns="0" tIns="0" rIns="0" bIns="0" anchor="ctr" anchorCtr="1"/>
              <a:lstStyle/>
              <a:p>
                <a:pPr algn="ctr" rtl="0">
                  <a:defRPr sz="160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6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b="1">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200" b="1"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153390</xdr:colOff>
      <xdr:row>7</xdr:row>
      <xdr:rowOff>148441</xdr:rowOff>
    </xdr:from>
    <xdr:to>
      <xdr:col>5</xdr:col>
      <xdr:colOff>138546</xdr:colOff>
      <xdr:row>15</xdr:row>
      <xdr:rowOff>19791</xdr:rowOff>
    </xdr:to>
    <xdr:graphicFrame macro="">
      <xdr:nvGraphicFramePr>
        <xdr:cNvPr id="2" name="Chart 1">
          <a:extLst>
            <a:ext uri="{FF2B5EF4-FFF2-40B4-BE49-F238E27FC236}">
              <a16:creationId xmlns:a16="http://schemas.microsoft.com/office/drawing/2014/main" id="{FBDA1DD2-C54E-EBA0-C36D-AE6A45BB4A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197920</xdr:colOff>
      <xdr:row>15</xdr:row>
      <xdr:rowOff>79169</xdr:rowOff>
    </xdr:from>
    <xdr:to>
      <xdr:col>8</xdr:col>
      <xdr:colOff>9894</xdr:colOff>
      <xdr:row>20</xdr:row>
      <xdr:rowOff>188027</xdr:rowOff>
    </xdr:to>
    <xdr:graphicFrame macro="">
      <xdr:nvGraphicFramePr>
        <xdr:cNvPr id="3" name="Chart 2">
          <a:extLst>
            <a:ext uri="{FF2B5EF4-FFF2-40B4-BE49-F238E27FC236}">
              <a16:creationId xmlns:a16="http://schemas.microsoft.com/office/drawing/2014/main" id="{E67A1E68-CB4F-1919-30F7-B535F4BAE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217714</xdr:colOff>
      <xdr:row>25</xdr:row>
      <xdr:rowOff>49480</xdr:rowOff>
    </xdr:from>
    <xdr:to>
      <xdr:col>7</xdr:col>
      <xdr:colOff>103909</xdr:colOff>
      <xdr:row>43</xdr:row>
      <xdr:rowOff>19791</xdr:rowOff>
    </xdr:to>
    <xdr:graphicFrame macro="">
      <xdr:nvGraphicFramePr>
        <xdr:cNvPr id="4" name="Chart 3">
          <a:extLst>
            <a:ext uri="{FF2B5EF4-FFF2-40B4-BE49-F238E27FC236}">
              <a16:creationId xmlns:a16="http://schemas.microsoft.com/office/drawing/2014/main" id="{80DCDC83-E46A-18D1-9D31-28DABFF52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306778</xdr:colOff>
      <xdr:row>50</xdr:row>
      <xdr:rowOff>59377</xdr:rowOff>
    </xdr:from>
    <xdr:to>
      <xdr:col>6</xdr:col>
      <xdr:colOff>598713</xdr:colOff>
      <xdr:row>60</xdr:row>
      <xdr:rowOff>45522</xdr:rowOff>
    </xdr:to>
    <xdr:graphicFrame macro="">
      <xdr:nvGraphicFramePr>
        <xdr:cNvPr id="5" name="Chart 4">
          <a:extLst>
            <a:ext uri="{FF2B5EF4-FFF2-40B4-BE49-F238E27FC236}">
              <a16:creationId xmlns:a16="http://schemas.microsoft.com/office/drawing/2014/main" id="{183725EF-FFE6-103B-4A10-28C10C143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296883</xdr:colOff>
      <xdr:row>61</xdr:row>
      <xdr:rowOff>29687</xdr:rowOff>
    </xdr:from>
    <xdr:to>
      <xdr:col>7</xdr:col>
      <xdr:colOff>539337</xdr:colOff>
      <xdr:row>70</xdr:row>
      <xdr:rowOff>95001</xdr:rowOff>
    </xdr:to>
    <xdr:graphicFrame macro="">
      <xdr:nvGraphicFramePr>
        <xdr:cNvPr id="6" name="Chart 5">
          <a:extLst>
            <a:ext uri="{FF2B5EF4-FFF2-40B4-BE49-F238E27FC236}">
              <a16:creationId xmlns:a16="http://schemas.microsoft.com/office/drawing/2014/main" id="{36B08C62-4D13-9DFE-C105-C7D1D1B49C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217714</xdr:colOff>
      <xdr:row>71</xdr:row>
      <xdr:rowOff>188026</xdr:rowOff>
    </xdr:from>
    <xdr:to>
      <xdr:col>9</xdr:col>
      <xdr:colOff>544286</xdr:colOff>
      <xdr:row>81</xdr:row>
      <xdr:rowOff>80159</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DD577A3B-774A-44B1-A4C6-CFE9BF31D6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096987" y="14408727"/>
              <a:ext cx="3018312" cy="190104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415635</xdr:colOff>
      <xdr:row>83</xdr:row>
      <xdr:rowOff>79167</xdr:rowOff>
    </xdr:from>
    <xdr:to>
      <xdr:col>8</xdr:col>
      <xdr:colOff>301829</xdr:colOff>
      <xdr:row>94</xdr:row>
      <xdr:rowOff>104897</xdr:rowOff>
    </xdr:to>
    <xdr:graphicFrame macro="">
      <xdr:nvGraphicFramePr>
        <xdr:cNvPr id="9" name="Chart 8">
          <a:extLst>
            <a:ext uri="{FF2B5EF4-FFF2-40B4-BE49-F238E27FC236}">
              <a16:creationId xmlns:a16="http://schemas.microsoft.com/office/drawing/2014/main" id="{E1C6C6E3-4083-DA2E-35FF-686CF6673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165265</xdr:colOff>
      <xdr:row>10</xdr:row>
      <xdr:rowOff>56112</xdr:rowOff>
    </xdr:from>
    <xdr:to>
      <xdr:col>13</xdr:col>
      <xdr:colOff>648195</xdr:colOff>
      <xdr:row>16</xdr:row>
      <xdr:rowOff>79169</xdr:rowOff>
    </xdr:to>
    <mc:AlternateContent xmlns:mc="http://schemas.openxmlformats.org/markup-compatibility/2006">
      <mc:Choice xmlns:a14="http://schemas.microsoft.com/office/drawing/2010/main" Requires="a14">
        <xdr:graphicFrame macro="">
          <xdr:nvGraphicFramePr>
            <xdr:cNvPr id="10" name="Outlet Size">
              <a:extLst>
                <a:ext uri="{FF2B5EF4-FFF2-40B4-BE49-F238E27FC236}">
                  <a16:creationId xmlns:a16="http://schemas.microsoft.com/office/drawing/2014/main" id="{7EC2684F-C8E0-33BC-D71F-2D329A98CF7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8794668" y="2084813"/>
              <a:ext cx="1828800" cy="1240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194953</xdr:colOff>
      <xdr:row>17</xdr:row>
      <xdr:rowOff>95697</xdr:rowOff>
    </xdr:from>
    <xdr:to>
      <xdr:col>14</xdr:col>
      <xdr:colOff>4948</xdr:colOff>
      <xdr:row>23</xdr:row>
      <xdr:rowOff>178130</xdr:rowOff>
    </xdr:to>
    <mc:AlternateContent xmlns:mc="http://schemas.openxmlformats.org/markup-compatibility/2006">
      <mc:Choice xmlns:a14="http://schemas.microsoft.com/office/drawing/2010/main" Requires="a14">
        <xdr:graphicFrame macro="">
          <xdr:nvGraphicFramePr>
            <xdr:cNvPr id="11" name="Outlet Location Type">
              <a:extLst>
                <a:ext uri="{FF2B5EF4-FFF2-40B4-BE49-F238E27FC236}">
                  <a16:creationId xmlns:a16="http://schemas.microsoft.com/office/drawing/2014/main" id="{838CA3DC-25CF-F8D6-F1FA-502683375DB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8824356" y="3539541"/>
              <a:ext cx="1828800" cy="1289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155369</xdr:colOff>
      <xdr:row>10</xdr:row>
      <xdr:rowOff>36319</xdr:rowOff>
    </xdr:from>
    <xdr:to>
      <xdr:col>16</xdr:col>
      <xdr:colOff>638299</xdr:colOff>
      <xdr:row>23</xdr:row>
      <xdr:rowOff>109426</xdr:rowOff>
    </xdr:to>
    <mc:AlternateContent xmlns:mc="http://schemas.openxmlformats.org/markup-compatibility/2006">
      <mc:Choice xmlns:a14="http://schemas.microsoft.com/office/drawing/2010/main" Requires="a14">
        <xdr:graphicFrame macro="">
          <xdr:nvGraphicFramePr>
            <xdr:cNvPr id="12" name="Item Type">
              <a:extLst>
                <a:ext uri="{FF2B5EF4-FFF2-40B4-BE49-F238E27FC236}">
                  <a16:creationId xmlns:a16="http://schemas.microsoft.com/office/drawing/2014/main" id="{2ED3928F-E1E5-3401-DDB9-CC312C3923E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0803577" y="20650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365760</xdr:colOff>
      <xdr:row>1</xdr:row>
      <xdr:rowOff>121920</xdr:rowOff>
    </xdr:from>
    <xdr:to>
      <xdr:col>22</xdr:col>
      <xdr:colOff>372534</xdr:colOff>
      <xdr:row>41</xdr:row>
      <xdr:rowOff>33867</xdr:rowOff>
    </xdr:to>
    <xdr:sp macro="" textlink="">
      <xdr:nvSpPr>
        <xdr:cNvPr id="2" name="Rectangle 1">
          <a:extLst>
            <a:ext uri="{FF2B5EF4-FFF2-40B4-BE49-F238E27FC236}">
              <a16:creationId xmlns:a16="http://schemas.microsoft.com/office/drawing/2014/main" id="{D5DEB9DC-7BE2-B5F5-168D-77C044E1DC70}"/>
            </a:ext>
          </a:extLst>
        </xdr:cNvPr>
        <xdr:cNvSpPr/>
      </xdr:nvSpPr>
      <xdr:spPr>
        <a:xfrm>
          <a:off x="365760" y="325120"/>
          <a:ext cx="14908107" cy="8039947"/>
        </a:xfrm>
        <a:prstGeom prst="rect">
          <a:avLst/>
        </a:prstGeom>
        <a:no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577680</xdr:colOff>
      <xdr:row>2</xdr:row>
      <xdr:rowOff>91440</xdr:rowOff>
    </xdr:from>
    <xdr:to>
      <xdr:col>4</xdr:col>
      <xdr:colOff>91440</xdr:colOff>
      <xdr:row>40</xdr:row>
      <xdr:rowOff>91440</xdr:rowOff>
    </xdr:to>
    <xdr:sp macro="" textlink="">
      <xdr:nvSpPr>
        <xdr:cNvPr id="3" name="Rectangle: Top Corners Rounded 2">
          <a:extLst>
            <a:ext uri="{FF2B5EF4-FFF2-40B4-BE49-F238E27FC236}">
              <a16:creationId xmlns:a16="http://schemas.microsoft.com/office/drawing/2014/main" id="{4A12E66D-CCAE-B79E-A0B1-EEEFDA5AF190}"/>
            </a:ext>
          </a:extLst>
        </xdr:cNvPr>
        <xdr:cNvSpPr/>
      </xdr:nvSpPr>
      <xdr:spPr>
        <a:xfrm rot="5400000">
          <a:off x="-2088600" y="3153960"/>
          <a:ext cx="7528560" cy="2196000"/>
        </a:xfrm>
        <a:prstGeom prst="round2SameRect">
          <a:avLst>
            <a:gd name="adj1" fmla="val 15279"/>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38100</xdr:colOff>
      <xdr:row>2</xdr:row>
      <xdr:rowOff>182880</xdr:rowOff>
    </xdr:from>
    <xdr:to>
      <xdr:col>3</xdr:col>
      <xdr:colOff>548640</xdr:colOff>
      <xdr:row>6</xdr:row>
      <xdr:rowOff>106680</xdr:rowOff>
    </xdr:to>
    <xdr:sp macro="" textlink="">
      <xdr:nvSpPr>
        <xdr:cNvPr id="4" name="TextBox 3">
          <a:extLst>
            <a:ext uri="{FF2B5EF4-FFF2-40B4-BE49-F238E27FC236}">
              <a16:creationId xmlns:a16="http://schemas.microsoft.com/office/drawing/2014/main" id="{974CC104-817A-835C-E260-1C66C37E31E4}"/>
            </a:ext>
          </a:extLst>
        </xdr:cNvPr>
        <xdr:cNvSpPr txBox="1"/>
      </xdr:nvSpPr>
      <xdr:spPr>
        <a:xfrm>
          <a:off x="708660" y="579120"/>
          <a:ext cx="1851660" cy="71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114300</xdr:colOff>
      <xdr:row>5</xdr:row>
      <xdr:rowOff>91440</xdr:rowOff>
    </xdr:from>
    <xdr:to>
      <xdr:col>4</xdr:col>
      <xdr:colOff>182880</xdr:colOff>
      <xdr:row>7</xdr:row>
      <xdr:rowOff>182880</xdr:rowOff>
    </xdr:to>
    <xdr:sp macro="" textlink="">
      <xdr:nvSpPr>
        <xdr:cNvPr id="6" name="TextBox 5">
          <a:extLst>
            <a:ext uri="{FF2B5EF4-FFF2-40B4-BE49-F238E27FC236}">
              <a16:creationId xmlns:a16="http://schemas.microsoft.com/office/drawing/2014/main" id="{6F426F99-1572-4244-9A38-663190DD66D9}"/>
            </a:ext>
          </a:extLst>
        </xdr:cNvPr>
        <xdr:cNvSpPr txBox="1"/>
      </xdr:nvSpPr>
      <xdr:spPr>
        <a:xfrm>
          <a:off x="784860" y="1082040"/>
          <a:ext cx="208026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dk1"/>
              </a:solidFill>
              <a:latin typeface="Aptos Display" panose="020B0004020202020204" pitchFamily="34" charset="0"/>
              <a:ea typeface="Segoe UI Black" panose="020B0A02040204020203" pitchFamily="34" charset="0"/>
            </a:rPr>
            <a:t>India's</a:t>
          </a:r>
          <a:r>
            <a:rPr lang="en-IN" sz="1400" b="1" baseline="0">
              <a:solidFill>
                <a:schemeClr val="dk1"/>
              </a:solidFill>
              <a:latin typeface="Aptos Display" panose="020B0004020202020204" pitchFamily="34" charset="0"/>
              <a:ea typeface="Segoe UI Black" panose="020B0A02040204020203" pitchFamily="34" charset="0"/>
            </a:rPr>
            <a:t> Last min App</a:t>
          </a:r>
          <a:endParaRPr lang="en-IN" sz="14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4</xdr:col>
      <xdr:colOff>259080</xdr:colOff>
      <xdr:row>2</xdr:row>
      <xdr:rowOff>121920</xdr:rowOff>
    </xdr:from>
    <xdr:to>
      <xdr:col>12</xdr:col>
      <xdr:colOff>465240</xdr:colOff>
      <xdr:row>13</xdr:row>
      <xdr:rowOff>178920</xdr:rowOff>
    </xdr:to>
    <xdr:grpSp>
      <xdr:nvGrpSpPr>
        <xdr:cNvPr id="11" name="Group 10">
          <a:extLst>
            <a:ext uri="{FF2B5EF4-FFF2-40B4-BE49-F238E27FC236}">
              <a16:creationId xmlns:a16="http://schemas.microsoft.com/office/drawing/2014/main" id="{A5C2D436-158B-4817-96E5-7C7661FDE748}"/>
            </a:ext>
          </a:extLst>
        </xdr:cNvPr>
        <xdr:cNvGrpSpPr/>
      </xdr:nvGrpSpPr>
      <xdr:grpSpPr>
        <a:xfrm>
          <a:off x="2951480" y="528320"/>
          <a:ext cx="5590960" cy="2292200"/>
          <a:chOff x="2971800" y="533400"/>
          <a:chExt cx="5570640" cy="2236320"/>
        </a:xfrm>
      </xdr:grpSpPr>
      <xdr:sp macro="" textlink="">
        <xdr:nvSpPr>
          <xdr:cNvPr id="7" name="Rectangle: Rounded Corners 6">
            <a:extLst>
              <a:ext uri="{FF2B5EF4-FFF2-40B4-BE49-F238E27FC236}">
                <a16:creationId xmlns:a16="http://schemas.microsoft.com/office/drawing/2014/main" id="{E49A1F0D-451E-2E60-6FB3-345A0C1842DF}"/>
              </a:ext>
            </a:extLst>
          </xdr:cNvPr>
          <xdr:cNvSpPr/>
        </xdr:nvSpPr>
        <xdr:spPr>
          <a:xfrm>
            <a:off x="2987040" y="533400"/>
            <a:ext cx="2736000" cy="1047600"/>
          </a:xfrm>
          <a:prstGeom prst="roundRect">
            <a:avLst/>
          </a:prstGeom>
          <a:gradFill>
            <a:gsLst>
              <a:gs pos="0">
                <a:srgbClr val="FFD200">
                  <a:alpha val="60000"/>
                </a:srgbClr>
              </a:gs>
              <a:gs pos="74000">
                <a:schemeClr val="accent6">
                  <a:lumMod val="75000"/>
                  <a:alpha val="45000"/>
                </a:schemeClr>
              </a:gs>
              <a:gs pos="83000">
                <a:schemeClr val="accent6">
                  <a:lumMod val="75000"/>
                  <a:alpha val="55000"/>
                </a:schemeClr>
              </a:gs>
              <a:gs pos="100000">
                <a:schemeClr val="accent6">
                  <a:lumMod val="75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5AC730DE-1C0D-47B3-80C0-5549849B3D03}"/>
              </a:ext>
            </a:extLst>
          </xdr:cNvPr>
          <xdr:cNvSpPr/>
        </xdr:nvSpPr>
        <xdr:spPr>
          <a:xfrm>
            <a:off x="5806440" y="548640"/>
            <a:ext cx="2736000" cy="1047600"/>
          </a:xfrm>
          <a:prstGeom prst="roundRect">
            <a:avLst/>
          </a:prstGeom>
          <a:gradFill>
            <a:gsLst>
              <a:gs pos="0">
                <a:srgbClr val="FFD200">
                  <a:alpha val="60000"/>
                </a:srgbClr>
              </a:gs>
              <a:gs pos="74000">
                <a:schemeClr val="accent6">
                  <a:lumMod val="75000"/>
                  <a:alpha val="45000"/>
                </a:schemeClr>
              </a:gs>
              <a:gs pos="83000">
                <a:schemeClr val="accent6">
                  <a:lumMod val="75000"/>
                  <a:alpha val="55000"/>
                </a:schemeClr>
              </a:gs>
              <a:gs pos="100000">
                <a:schemeClr val="accent6">
                  <a:lumMod val="75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C7C88ED4-CC2D-4F07-B38E-825ED35C499A}"/>
              </a:ext>
            </a:extLst>
          </xdr:cNvPr>
          <xdr:cNvSpPr/>
        </xdr:nvSpPr>
        <xdr:spPr>
          <a:xfrm>
            <a:off x="2971800" y="1722120"/>
            <a:ext cx="2736000" cy="1047600"/>
          </a:xfrm>
          <a:prstGeom prst="roundRect">
            <a:avLst/>
          </a:prstGeom>
          <a:gradFill>
            <a:gsLst>
              <a:gs pos="0">
                <a:srgbClr val="FFD200">
                  <a:alpha val="60000"/>
                </a:srgbClr>
              </a:gs>
              <a:gs pos="74000">
                <a:schemeClr val="accent6">
                  <a:lumMod val="75000"/>
                  <a:alpha val="45000"/>
                </a:schemeClr>
              </a:gs>
              <a:gs pos="83000">
                <a:schemeClr val="accent6">
                  <a:lumMod val="75000"/>
                  <a:alpha val="55000"/>
                </a:schemeClr>
              </a:gs>
              <a:gs pos="100000">
                <a:schemeClr val="accent6">
                  <a:lumMod val="75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5EDE4023-5A27-4904-8367-8DF767A20BF6}"/>
              </a:ext>
            </a:extLst>
          </xdr:cNvPr>
          <xdr:cNvSpPr/>
        </xdr:nvSpPr>
        <xdr:spPr>
          <a:xfrm>
            <a:off x="5775960" y="1706880"/>
            <a:ext cx="2736000" cy="1047600"/>
          </a:xfrm>
          <a:prstGeom prst="roundRect">
            <a:avLst/>
          </a:prstGeom>
          <a:gradFill>
            <a:gsLst>
              <a:gs pos="0">
                <a:srgbClr val="FFD200">
                  <a:alpha val="60000"/>
                </a:srgbClr>
              </a:gs>
              <a:gs pos="74000">
                <a:schemeClr val="accent6">
                  <a:lumMod val="75000"/>
                  <a:alpha val="45000"/>
                </a:schemeClr>
              </a:gs>
              <a:gs pos="83000">
                <a:schemeClr val="accent6">
                  <a:lumMod val="75000"/>
                  <a:alpha val="55000"/>
                </a:schemeClr>
              </a:gs>
              <a:gs pos="100000">
                <a:schemeClr val="accent6">
                  <a:lumMod val="75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4</xdr:col>
      <xdr:colOff>426720</xdr:colOff>
      <xdr:row>3</xdr:row>
      <xdr:rowOff>91440</xdr:rowOff>
    </xdr:from>
    <xdr:ext cx="1371600" cy="502920"/>
    <xdr:sp macro="" textlink="'SHEET DESIGN'!A7">
      <xdr:nvSpPr>
        <xdr:cNvPr id="12" name="TextBox 11">
          <a:extLst>
            <a:ext uri="{FF2B5EF4-FFF2-40B4-BE49-F238E27FC236}">
              <a16:creationId xmlns:a16="http://schemas.microsoft.com/office/drawing/2014/main" id="{2CDA6537-48D7-1543-52E8-319113A5F0F7}"/>
            </a:ext>
          </a:extLst>
        </xdr:cNvPr>
        <xdr:cNvSpPr txBox="1"/>
      </xdr:nvSpPr>
      <xdr:spPr>
        <a:xfrm>
          <a:off x="3108960" y="685800"/>
          <a:ext cx="1371600" cy="5029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C499F1F-4D79-481E-907F-B8AC9268AE9B}" type="TxLink">
            <a:rPr lang="en-US" sz="2800" b="1" i="0" u="none" strike="noStrike">
              <a:solidFill>
                <a:srgbClr val="000000"/>
              </a:solidFill>
              <a:latin typeface="Lucida Fax" panose="02060602050505020204" pitchFamily="18" charset="0"/>
              <a:ea typeface="Calibri"/>
              <a:cs typeface="Segoe UI Semibold" panose="020B0702040204020203" pitchFamily="34" charset="0"/>
            </a:rPr>
            <a:pPr/>
            <a:t>$1.2M</a:t>
          </a:fld>
          <a:endParaRPr lang="en-IN" sz="2800" b="1">
            <a:latin typeface="Lucida Fax" panose="02060602050505020204" pitchFamily="18" charset="0"/>
            <a:cs typeface="Segoe UI Semibold" panose="020B0702040204020203" pitchFamily="34" charset="0"/>
          </a:endParaRPr>
        </a:p>
      </xdr:txBody>
    </xdr:sp>
    <xdr:clientData/>
  </xdr:oneCellAnchor>
  <xdr:oneCellAnchor>
    <xdr:from>
      <xdr:col>8</xdr:col>
      <xdr:colOff>596211</xdr:colOff>
      <xdr:row>3</xdr:row>
      <xdr:rowOff>97854</xdr:rowOff>
    </xdr:from>
    <xdr:ext cx="1156389" cy="593304"/>
    <xdr:sp macro="" textlink="'SHEET DESIGN'!B7">
      <xdr:nvSpPr>
        <xdr:cNvPr id="5" name="TextBox 4">
          <a:extLst>
            <a:ext uri="{FF2B5EF4-FFF2-40B4-BE49-F238E27FC236}">
              <a16:creationId xmlns:a16="http://schemas.microsoft.com/office/drawing/2014/main" id="{9E0DC777-0F14-1A46-45DA-E576DE49B977}"/>
            </a:ext>
          </a:extLst>
        </xdr:cNvPr>
        <xdr:cNvSpPr txBox="1"/>
      </xdr:nvSpPr>
      <xdr:spPr>
        <a:xfrm rot="10800000" flipH="1" flipV="1">
          <a:off x="5960691" y="692214"/>
          <a:ext cx="1156389"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57FA748-0C60-4112-9560-82EC1900D40B}" type="TxLink">
            <a:rPr lang="en-US" sz="3200" b="1" i="0" u="none" strike="noStrike">
              <a:solidFill>
                <a:srgbClr val="000000"/>
              </a:solidFill>
              <a:latin typeface="Calibri"/>
              <a:ea typeface="Calibri"/>
              <a:cs typeface="Calibri"/>
            </a:rPr>
            <a:t>$141</a:t>
          </a:fld>
          <a:endParaRPr lang="en-IN" sz="3200" b="1"/>
        </a:p>
      </xdr:txBody>
    </xdr:sp>
    <xdr:clientData/>
  </xdr:oneCellAnchor>
  <xdr:twoCellAnchor>
    <xdr:from>
      <xdr:col>4</xdr:col>
      <xdr:colOff>502920</xdr:colOff>
      <xdr:row>5</xdr:row>
      <xdr:rowOff>121920</xdr:rowOff>
    </xdr:from>
    <xdr:to>
      <xdr:col>6</xdr:col>
      <xdr:colOff>228600</xdr:colOff>
      <xdr:row>7</xdr:row>
      <xdr:rowOff>91440</xdr:rowOff>
    </xdr:to>
    <xdr:sp macro="" textlink="">
      <xdr:nvSpPr>
        <xdr:cNvPr id="13" name="TextBox 12">
          <a:extLst>
            <a:ext uri="{FF2B5EF4-FFF2-40B4-BE49-F238E27FC236}">
              <a16:creationId xmlns:a16="http://schemas.microsoft.com/office/drawing/2014/main" id="{9936B54F-4328-EDE6-49BE-0C8345FEBF86}"/>
            </a:ext>
          </a:extLst>
        </xdr:cNvPr>
        <xdr:cNvSpPr txBox="1"/>
      </xdr:nvSpPr>
      <xdr:spPr>
        <a:xfrm>
          <a:off x="3185160" y="1112520"/>
          <a:ext cx="1066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1">
              <a:latin typeface="Segoe UI Semibold" panose="020B0702040204020203" pitchFamily="34" charset="0"/>
              <a:cs typeface="Segoe UI Semibold" panose="020B0702040204020203" pitchFamily="34" charset="0"/>
            </a:rPr>
            <a:t>Total Sales</a:t>
          </a:r>
        </a:p>
      </xdr:txBody>
    </xdr:sp>
    <xdr:clientData/>
  </xdr:twoCellAnchor>
  <xdr:twoCellAnchor>
    <xdr:from>
      <xdr:col>8</xdr:col>
      <xdr:colOff>655320</xdr:colOff>
      <xdr:row>5</xdr:row>
      <xdr:rowOff>91440</xdr:rowOff>
    </xdr:from>
    <xdr:to>
      <xdr:col>10</xdr:col>
      <xdr:colOff>655320</xdr:colOff>
      <xdr:row>7</xdr:row>
      <xdr:rowOff>0</xdr:rowOff>
    </xdr:to>
    <xdr:sp macro="" textlink="">
      <xdr:nvSpPr>
        <xdr:cNvPr id="14" name="TextBox 13">
          <a:extLst>
            <a:ext uri="{FF2B5EF4-FFF2-40B4-BE49-F238E27FC236}">
              <a16:creationId xmlns:a16="http://schemas.microsoft.com/office/drawing/2014/main" id="{FA3B0B68-A109-4391-8195-0C91ECD9F609}"/>
            </a:ext>
          </a:extLst>
        </xdr:cNvPr>
        <xdr:cNvSpPr txBox="1"/>
      </xdr:nvSpPr>
      <xdr:spPr>
        <a:xfrm>
          <a:off x="6019800" y="1082040"/>
          <a:ext cx="13411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1">
              <a:latin typeface="Segoe UI Semibold" panose="020B0702040204020203" pitchFamily="34" charset="0"/>
              <a:cs typeface="Segoe UI Semibold" panose="020B0702040204020203" pitchFamily="34" charset="0"/>
            </a:rPr>
            <a:t>Average</a:t>
          </a:r>
          <a:r>
            <a:rPr lang="en-IN" sz="1400" b="1" i="1" baseline="0">
              <a:latin typeface="Segoe UI Semibold" panose="020B0702040204020203" pitchFamily="34" charset="0"/>
              <a:cs typeface="Segoe UI Semibold" panose="020B0702040204020203" pitchFamily="34" charset="0"/>
            </a:rPr>
            <a:t> Sales</a:t>
          </a:r>
          <a:endParaRPr lang="en-IN" sz="1400" b="1" i="1">
            <a:latin typeface="Segoe UI Semibold" panose="020B0702040204020203" pitchFamily="34" charset="0"/>
            <a:cs typeface="Segoe UI Semibold" panose="020B0702040204020203" pitchFamily="34" charset="0"/>
          </a:endParaRPr>
        </a:p>
      </xdr:txBody>
    </xdr:sp>
    <xdr:clientData/>
  </xdr:twoCellAnchor>
  <xdr:twoCellAnchor>
    <xdr:from>
      <xdr:col>8</xdr:col>
      <xdr:colOff>655320</xdr:colOff>
      <xdr:row>11</xdr:row>
      <xdr:rowOff>121920</xdr:rowOff>
    </xdr:from>
    <xdr:to>
      <xdr:col>11</xdr:col>
      <xdr:colOff>289560</xdr:colOff>
      <xdr:row>13</xdr:row>
      <xdr:rowOff>91440</xdr:rowOff>
    </xdr:to>
    <xdr:sp macro="" textlink="">
      <xdr:nvSpPr>
        <xdr:cNvPr id="15" name="TextBox 14">
          <a:extLst>
            <a:ext uri="{FF2B5EF4-FFF2-40B4-BE49-F238E27FC236}">
              <a16:creationId xmlns:a16="http://schemas.microsoft.com/office/drawing/2014/main" id="{82BE8B57-7D17-4ECE-ADC3-8CC81A2944BF}"/>
            </a:ext>
          </a:extLst>
        </xdr:cNvPr>
        <xdr:cNvSpPr txBox="1"/>
      </xdr:nvSpPr>
      <xdr:spPr>
        <a:xfrm>
          <a:off x="6019800" y="2301240"/>
          <a:ext cx="16459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1">
              <a:latin typeface="Segoe UI Semibold" panose="020B0702040204020203" pitchFamily="34" charset="0"/>
              <a:cs typeface="Segoe UI Semibold" panose="020B0702040204020203" pitchFamily="34" charset="0"/>
            </a:rPr>
            <a:t>Average</a:t>
          </a:r>
          <a:r>
            <a:rPr lang="en-IN" sz="1400" b="1" i="1" baseline="0">
              <a:latin typeface="Segoe UI Semibold" panose="020B0702040204020203" pitchFamily="34" charset="0"/>
              <a:cs typeface="Segoe UI Semibold" panose="020B0702040204020203" pitchFamily="34" charset="0"/>
            </a:rPr>
            <a:t> Ratings</a:t>
          </a:r>
          <a:endParaRPr lang="en-IN" sz="1400" b="1" i="1">
            <a:latin typeface="Segoe UI Semibold" panose="020B0702040204020203" pitchFamily="34" charset="0"/>
            <a:cs typeface="Segoe UI Semibold" panose="020B0702040204020203" pitchFamily="34" charset="0"/>
          </a:endParaRPr>
        </a:p>
      </xdr:txBody>
    </xdr:sp>
    <xdr:clientData/>
  </xdr:twoCellAnchor>
  <xdr:twoCellAnchor>
    <xdr:from>
      <xdr:col>4</xdr:col>
      <xdr:colOff>518160</xdr:colOff>
      <xdr:row>11</xdr:row>
      <xdr:rowOff>106680</xdr:rowOff>
    </xdr:from>
    <xdr:to>
      <xdr:col>7</xdr:col>
      <xdr:colOff>152400</xdr:colOff>
      <xdr:row>13</xdr:row>
      <xdr:rowOff>76200</xdr:rowOff>
    </xdr:to>
    <xdr:sp macro="" textlink="">
      <xdr:nvSpPr>
        <xdr:cNvPr id="16" name="TextBox 15">
          <a:extLst>
            <a:ext uri="{FF2B5EF4-FFF2-40B4-BE49-F238E27FC236}">
              <a16:creationId xmlns:a16="http://schemas.microsoft.com/office/drawing/2014/main" id="{AA84DC2A-A790-4DF1-86B7-D225F8E46DED}"/>
            </a:ext>
          </a:extLst>
        </xdr:cNvPr>
        <xdr:cNvSpPr txBox="1"/>
      </xdr:nvSpPr>
      <xdr:spPr>
        <a:xfrm>
          <a:off x="3200400" y="2286000"/>
          <a:ext cx="16459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1">
              <a:latin typeface="Segoe UI Semibold" panose="020B0702040204020203" pitchFamily="34" charset="0"/>
              <a:cs typeface="Segoe UI Semibold" panose="020B0702040204020203" pitchFamily="34" charset="0"/>
            </a:rPr>
            <a:t>No</a:t>
          </a:r>
          <a:r>
            <a:rPr lang="en-IN" sz="1400" b="1" i="1" baseline="0">
              <a:latin typeface="Segoe UI Semibold" panose="020B0702040204020203" pitchFamily="34" charset="0"/>
              <a:cs typeface="Segoe UI Semibold" panose="020B0702040204020203" pitchFamily="34" charset="0"/>
            </a:rPr>
            <a:t> of items</a:t>
          </a:r>
          <a:endParaRPr lang="en-IN" sz="1400" b="1" i="1">
            <a:latin typeface="Segoe UI Semibold" panose="020B0702040204020203" pitchFamily="34" charset="0"/>
            <a:cs typeface="Segoe UI Semibold" panose="020B0702040204020203" pitchFamily="34" charset="0"/>
          </a:endParaRPr>
        </a:p>
      </xdr:txBody>
    </xdr:sp>
    <xdr:clientData/>
  </xdr:twoCellAnchor>
  <xdr:twoCellAnchor>
    <xdr:from>
      <xdr:col>4</xdr:col>
      <xdr:colOff>426720</xdr:colOff>
      <xdr:row>9</xdr:row>
      <xdr:rowOff>30480</xdr:rowOff>
    </xdr:from>
    <xdr:to>
      <xdr:col>7</xdr:col>
      <xdr:colOff>487680</xdr:colOff>
      <xdr:row>11</xdr:row>
      <xdr:rowOff>76200</xdr:rowOff>
    </xdr:to>
    <xdr:sp macro="" textlink="'SHEET DESIGN'!C7">
      <xdr:nvSpPr>
        <xdr:cNvPr id="17" name="TextBox 16">
          <a:extLst>
            <a:ext uri="{FF2B5EF4-FFF2-40B4-BE49-F238E27FC236}">
              <a16:creationId xmlns:a16="http://schemas.microsoft.com/office/drawing/2014/main" id="{22C90443-F393-B02B-0F88-020C74BC4F60}"/>
            </a:ext>
          </a:extLst>
        </xdr:cNvPr>
        <xdr:cNvSpPr txBox="1"/>
      </xdr:nvSpPr>
      <xdr:spPr>
        <a:xfrm>
          <a:off x="3108960" y="1813560"/>
          <a:ext cx="2072640" cy="4419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8E846D28-EC4A-4C33-B556-0BC91E24C28D}" type="TxLink">
            <a:rPr lang="en-US" sz="2800" b="1" i="0" u="none" strike="noStrike">
              <a:solidFill>
                <a:srgbClr val="000000"/>
              </a:solidFill>
              <a:latin typeface="Lucida Fax" panose="02060602050505020204" pitchFamily="18" charset="0"/>
              <a:ea typeface="Calibri"/>
              <a:cs typeface="Segoe UI Semibold" panose="020B0702040204020203" pitchFamily="34" charset="0"/>
            </a:rPr>
            <a:pPr marL="0" indent="0"/>
            <a:t>36325026</a:t>
          </a:fld>
          <a:endParaRPr lang="en-IN" sz="2800" b="1" i="0" u="none" strike="noStrike">
            <a:solidFill>
              <a:srgbClr val="000000"/>
            </a:solidFill>
            <a:latin typeface="Lucida Fax" panose="02060602050505020204" pitchFamily="18" charset="0"/>
            <a:ea typeface="Calibri"/>
            <a:cs typeface="Segoe UI Semibold" panose="020B0702040204020203" pitchFamily="34" charset="0"/>
          </a:endParaRPr>
        </a:p>
      </xdr:txBody>
    </xdr:sp>
    <xdr:clientData/>
  </xdr:twoCellAnchor>
  <xdr:twoCellAnchor>
    <xdr:from>
      <xdr:col>9</xdr:col>
      <xdr:colOff>30480</xdr:colOff>
      <xdr:row>9</xdr:row>
      <xdr:rowOff>45720</xdr:rowOff>
    </xdr:from>
    <xdr:to>
      <xdr:col>10</xdr:col>
      <xdr:colOff>213360</xdr:colOff>
      <xdr:row>12</xdr:row>
      <xdr:rowOff>0</xdr:rowOff>
    </xdr:to>
    <xdr:sp macro="" textlink="'SHEET DESIGN'!D7">
      <xdr:nvSpPr>
        <xdr:cNvPr id="18" name="TextBox 17">
          <a:extLst>
            <a:ext uri="{FF2B5EF4-FFF2-40B4-BE49-F238E27FC236}">
              <a16:creationId xmlns:a16="http://schemas.microsoft.com/office/drawing/2014/main" id="{F8657690-B131-A25C-E1A0-446A9EAE78AD}"/>
            </a:ext>
          </a:extLst>
        </xdr:cNvPr>
        <xdr:cNvSpPr txBox="1"/>
      </xdr:nvSpPr>
      <xdr:spPr>
        <a:xfrm>
          <a:off x="6065520" y="1828800"/>
          <a:ext cx="853440" cy="5486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0E116924-0D86-4076-84D7-073E4C14D652}" type="TxLink">
            <a:rPr lang="en-US" sz="2800" b="1" i="0" u="none" strike="noStrike">
              <a:solidFill>
                <a:srgbClr val="000000"/>
              </a:solidFill>
              <a:latin typeface="Lucida Fax" panose="02060602050505020204" pitchFamily="18" charset="0"/>
              <a:ea typeface="Calibri"/>
              <a:cs typeface="Segoe UI Semibold" panose="020B0702040204020203" pitchFamily="34" charset="0"/>
            </a:rPr>
            <a:pPr marL="0" indent="0"/>
            <a:t>4.0</a:t>
          </a:fld>
          <a:endParaRPr lang="en-IN" sz="2800" b="1" i="0" u="none" strike="noStrike">
            <a:solidFill>
              <a:srgbClr val="000000"/>
            </a:solidFill>
            <a:latin typeface="Lucida Fax" panose="02060602050505020204" pitchFamily="18" charset="0"/>
            <a:ea typeface="Calibri"/>
            <a:cs typeface="Segoe UI Semibold" panose="020B0702040204020203" pitchFamily="34" charset="0"/>
          </a:endParaRPr>
        </a:p>
      </xdr:txBody>
    </xdr:sp>
    <xdr:clientData/>
  </xdr:twoCellAnchor>
  <xdr:twoCellAnchor>
    <xdr:from>
      <xdr:col>4</xdr:col>
      <xdr:colOff>365760</xdr:colOff>
      <xdr:row>16</xdr:row>
      <xdr:rowOff>15240</xdr:rowOff>
    </xdr:from>
    <xdr:to>
      <xdr:col>8</xdr:col>
      <xdr:colOff>419520</xdr:colOff>
      <xdr:row>21</xdr:row>
      <xdr:rowOff>72240</xdr:rowOff>
    </xdr:to>
    <xdr:sp macro="" textlink="">
      <xdr:nvSpPr>
        <xdr:cNvPr id="19" name="Rectangle: Rounded Corners 18">
          <a:extLst>
            <a:ext uri="{FF2B5EF4-FFF2-40B4-BE49-F238E27FC236}">
              <a16:creationId xmlns:a16="http://schemas.microsoft.com/office/drawing/2014/main" id="{07D0BC53-285E-43D0-995D-9C1744977DEC}"/>
            </a:ext>
          </a:extLst>
        </xdr:cNvPr>
        <xdr:cNvSpPr/>
      </xdr:nvSpPr>
      <xdr:spPr>
        <a:xfrm>
          <a:off x="3048000" y="3185160"/>
          <a:ext cx="2736000" cy="104760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259080</xdr:colOff>
      <xdr:row>14</xdr:row>
      <xdr:rowOff>91440</xdr:rowOff>
    </xdr:from>
    <xdr:to>
      <xdr:col>12</xdr:col>
      <xdr:colOff>487680</xdr:colOff>
      <xdr:row>40</xdr:row>
      <xdr:rowOff>106680</xdr:rowOff>
    </xdr:to>
    <xdr:sp macro="" textlink="">
      <xdr:nvSpPr>
        <xdr:cNvPr id="20" name="Rectangle: Rounded Corners 19">
          <a:extLst>
            <a:ext uri="{FF2B5EF4-FFF2-40B4-BE49-F238E27FC236}">
              <a16:creationId xmlns:a16="http://schemas.microsoft.com/office/drawing/2014/main" id="{FADEDDDC-1A43-4ADE-86F7-9A907ECB6832}"/>
            </a:ext>
          </a:extLst>
        </xdr:cNvPr>
        <xdr:cNvSpPr/>
      </xdr:nvSpPr>
      <xdr:spPr>
        <a:xfrm>
          <a:off x="2941320" y="2865120"/>
          <a:ext cx="5593080" cy="516636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441960</xdr:colOff>
      <xdr:row>16</xdr:row>
      <xdr:rowOff>45720</xdr:rowOff>
    </xdr:from>
    <xdr:to>
      <xdr:col>8</xdr:col>
      <xdr:colOff>63720</xdr:colOff>
      <xdr:row>26</xdr:row>
      <xdr:rowOff>67733</xdr:rowOff>
    </xdr:to>
    <xdr:graphicFrame macro="">
      <xdr:nvGraphicFramePr>
        <xdr:cNvPr id="21" name="Chart 20">
          <a:extLst>
            <a:ext uri="{FF2B5EF4-FFF2-40B4-BE49-F238E27FC236}">
              <a16:creationId xmlns:a16="http://schemas.microsoft.com/office/drawing/2014/main" id="{35E86F50-27E3-4E82-9A85-8DB14C864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91440</xdr:colOff>
      <xdr:row>14</xdr:row>
      <xdr:rowOff>76200</xdr:rowOff>
    </xdr:from>
    <xdr:to>
      <xdr:col>7</xdr:col>
      <xdr:colOff>396240</xdr:colOff>
      <xdr:row>16</xdr:row>
      <xdr:rowOff>45720</xdr:rowOff>
    </xdr:to>
    <xdr:sp macro="" textlink="">
      <xdr:nvSpPr>
        <xdr:cNvPr id="22" name="TextBox 21">
          <a:extLst>
            <a:ext uri="{FF2B5EF4-FFF2-40B4-BE49-F238E27FC236}">
              <a16:creationId xmlns:a16="http://schemas.microsoft.com/office/drawing/2014/main" id="{53DC5C38-B75F-47ED-AAA4-4BFDAA3FE583}"/>
            </a:ext>
          </a:extLst>
        </xdr:cNvPr>
        <xdr:cNvSpPr txBox="1"/>
      </xdr:nvSpPr>
      <xdr:spPr>
        <a:xfrm>
          <a:off x="3444240" y="2849880"/>
          <a:ext cx="16459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1">
              <a:latin typeface="Segoe UI Semibold" panose="020B0702040204020203" pitchFamily="34" charset="0"/>
              <a:cs typeface="Segoe UI Semibold" panose="020B0702040204020203" pitchFamily="34" charset="0"/>
            </a:rPr>
            <a:t>Fat</a:t>
          </a:r>
          <a:r>
            <a:rPr lang="en-IN" sz="1400" b="1" i="1" baseline="0">
              <a:latin typeface="Segoe UI Semibold" panose="020B0702040204020203" pitchFamily="34" charset="0"/>
              <a:cs typeface="Segoe UI Semibold" panose="020B0702040204020203" pitchFamily="34" charset="0"/>
            </a:rPr>
            <a:t> content</a:t>
          </a:r>
          <a:endParaRPr lang="en-IN" sz="1400" b="1" i="1">
            <a:latin typeface="Segoe UI Semibold" panose="020B0702040204020203" pitchFamily="34" charset="0"/>
            <a:cs typeface="Segoe UI Semibold" panose="020B0702040204020203" pitchFamily="34" charset="0"/>
          </a:endParaRPr>
        </a:p>
      </xdr:txBody>
    </xdr:sp>
    <xdr:clientData/>
  </xdr:twoCellAnchor>
  <xdr:twoCellAnchor>
    <xdr:from>
      <xdr:col>8</xdr:col>
      <xdr:colOff>213360</xdr:colOff>
      <xdr:row>15</xdr:row>
      <xdr:rowOff>91440</xdr:rowOff>
    </xdr:from>
    <xdr:to>
      <xdr:col>8</xdr:col>
      <xdr:colOff>213360</xdr:colOff>
      <xdr:row>39</xdr:row>
      <xdr:rowOff>121920</xdr:rowOff>
    </xdr:to>
    <xdr:cxnSp macro="">
      <xdr:nvCxnSpPr>
        <xdr:cNvPr id="24" name="Straight Connector 23">
          <a:extLst>
            <a:ext uri="{FF2B5EF4-FFF2-40B4-BE49-F238E27FC236}">
              <a16:creationId xmlns:a16="http://schemas.microsoft.com/office/drawing/2014/main" id="{8F570711-E087-4503-D565-7F338BE7D23E}"/>
            </a:ext>
          </a:extLst>
        </xdr:cNvPr>
        <xdr:cNvCxnSpPr/>
      </xdr:nvCxnSpPr>
      <xdr:spPr>
        <a:xfrm>
          <a:off x="5577840" y="3063240"/>
          <a:ext cx="0" cy="4785360"/>
        </a:xfrm>
        <a:prstGeom prst="line">
          <a:avLst/>
        </a:prstGeom>
        <a:ln w="158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335280</xdr:colOff>
      <xdr:row>26</xdr:row>
      <xdr:rowOff>152400</xdr:rowOff>
    </xdr:from>
    <xdr:to>
      <xdr:col>8</xdr:col>
      <xdr:colOff>30480</xdr:colOff>
      <xdr:row>26</xdr:row>
      <xdr:rowOff>167640</xdr:rowOff>
    </xdr:to>
    <xdr:cxnSp macro="">
      <xdr:nvCxnSpPr>
        <xdr:cNvPr id="25" name="Straight Connector 24">
          <a:extLst>
            <a:ext uri="{FF2B5EF4-FFF2-40B4-BE49-F238E27FC236}">
              <a16:creationId xmlns:a16="http://schemas.microsoft.com/office/drawing/2014/main" id="{FA497FE5-2DBB-4F62-8B3E-917A1B19C501}"/>
            </a:ext>
          </a:extLst>
        </xdr:cNvPr>
        <xdr:cNvCxnSpPr/>
      </xdr:nvCxnSpPr>
      <xdr:spPr>
        <a:xfrm flipH="1" flipV="1">
          <a:off x="3017520" y="5303520"/>
          <a:ext cx="2377440" cy="15240"/>
        </a:xfrm>
        <a:prstGeom prst="line">
          <a:avLst/>
        </a:prstGeom>
        <a:ln w="158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355600</xdr:colOff>
      <xdr:row>28</xdr:row>
      <xdr:rowOff>16932</xdr:rowOff>
    </xdr:from>
    <xdr:to>
      <xdr:col>8</xdr:col>
      <xdr:colOff>152401</xdr:colOff>
      <xdr:row>38</xdr:row>
      <xdr:rowOff>101599</xdr:rowOff>
    </xdr:to>
    <xdr:graphicFrame macro="">
      <xdr:nvGraphicFramePr>
        <xdr:cNvPr id="29" name="Chart 28">
          <a:extLst>
            <a:ext uri="{FF2B5EF4-FFF2-40B4-BE49-F238E27FC236}">
              <a16:creationId xmlns:a16="http://schemas.microsoft.com/office/drawing/2014/main" id="{77A5A0CB-F56F-4B72-9973-284876782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565574</xdr:colOff>
      <xdr:row>26</xdr:row>
      <xdr:rowOff>123613</xdr:rowOff>
    </xdr:from>
    <xdr:to>
      <xdr:col>7</xdr:col>
      <xdr:colOff>193040</xdr:colOff>
      <xdr:row>28</xdr:row>
      <xdr:rowOff>93133</xdr:rowOff>
    </xdr:to>
    <xdr:sp macro="" textlink="">
      <xdr:nvSpPr>
        <xdr:cNvPr id="30" name="TextBox 29">
          <a:extLst>
            <a:ext uri="{FF2B5EF4-FFF2-40B4-BE49-F238E27FC236}">
              <a16:creationId xmlns:a16="http://schemas.microsoft.com/office/drawing/2014/main" id="{9284AEEB-08FA-4A2C-BEA6-3D09B75732D1}"/>
            </a:ext>
          </a:extLst>
        </xdr:cNvPr>
        <xdr:cNvSpPr txBox="1"/>
      </xdr:nvSpPr>
      <xdr:spPr>
        <a:xfrm>
          <a:off x="3274907" y="5406813"/>
          <a:ext cx="1659466"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1">
              <a:latin typeface="Segoe UI Semibold" panose="020B0702040204020203" pitchFamily="34" charset="0"/>
              <a:cs typeface="Segoe UI Semibold" panose="020B0702040204020203" pitchFamily="34" charset="0"/>
            </a:rPr>
            <a:t>Fat</a:t>
          </a:r>
          <a:r>
            <a:rPr lang="en-IN" sz="1400" b="1" i="1" baseline="0">
              <a:latin typeface="Segoe UI Semibold" panose="020B0702040204020203" pitchFamily="34" charset="0"/>
              <a:cs typeface="Segoe UI Semibold" panose="020B0702040204020203" pitchFamily="34" charset="0"/>
            </a:rPr>
            <a:t> by Outlet</a:t>
          </a:r>
          <a:endParaRPr lang="en-IN" sz="1400" b="1" i="1">
            <a:latin typeface="Segoe UI Semibold" panose="020B0702040204020203" pitchFamily="34" charset="0"/>
            <a:cs typeface="Segoe UI Semibold" panose="020B0702040204020203" pitchFamily="34" charset="0"/>
          </a:endParaRPr>
        </a:p>
      </xdr:txBody>
    </xdr:sp>
    <xdr:clientData/>
  </xdr:twoCellAnchor>
  <xdr:twoCellAnchor>
    <xdr:from>
      <xdr:col>8</xdr:col>
      <xdr:colOff>430106</xdr:colOff>
      <xdr:row>14</xdr:row>
      <xdr:rowOff>55880</xdr:rowOff>
    </xdr:from>
    <xdr:to>
      <xdr:col>11</xdr:col>
      <xdr:colOff>57572</xdr:colOff>
      <xdr:row>16</xdr:row>
      <xdr:rowOff>25400</xdr:rowOff>
    </xdr:to>
    <xdr:sp macro="" textlink="">
      <xdr:nvSpPr>
        <xdr:cNvPr id="31" name="TextBox 30">
          <a:extLst>
            <a:ext uri="{FF2B5EF4-FFF2-40B4-BE49-F238E27FC236}">
              <a16:creationId xmlns:a16="http://schemas.microsoft.com/office/drawing/2014/main" id="{DD44C33D-9742-4851-9786-A078CE4F2CFA}"/>
            </a:ext>
          </a:extLst>
        </xdr:cNvPr>
        <xdr:cNvSpPr txBox="1"/>
      </xdr:nvSpPr>
      <xdr:spPr>
        <a:xfrm>
          <a:off x="5848773" y="2900680"/>
          <a:ext cx="1659466"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1">
              <a:latin typeface="Segoe UI Semibold" panose="020B0702040204020203" pitchFamily="34" charset="0"/>
              <a:cs typeface="Segoe UI Semibold" panose="020B0702040204020203" pitchFamily="34" charset="0"/>
            </a:rPr>
            <a:t>Item</a:t>
          </a:r>
          <a:r>
            <a:rPr lang="en-IN" sz="1400" b="1" i="1" baseline="0">
              <a:latin typeface="Segoe UI Semibold" panose="020B0702040204020203" pitchFamily="34" charset="0"/>
              <a:cs typeface="Segoe UI Semibold" panose="020B0702040204020203" pitchFamily="34" charset="0"/>
            </a:rPr>
            <a:t> Type</a:t>
          </a:r>
          <a:endParaRPr lang="en-IN" sz="1400" b="1" i="1">
            <a:latin typeface="Segoe UI Semibold" panose="020B0702040204020203" pitchFamily="34" charset="0"/>
            <a:cs typeface="Segoe UI Semibold" panose="020B0702040204020203" pitchFamily="34" charset="0"/>
          </a:endParaRPr>
        </a:p>
      </xdr:txBody>
    </xdr:sp>
    <xdr:clientData/>
  </xdr:twoCellAnchor>
  <xdr:twoCellAnchor>
    <xdr:from>
      <xdr:col>8</xdr:col>
      <xdr:colOff>287866</xdr:colOff>
      <xdr:row>16</xdr:row>
      <xdr:rowOff>67734</xdr:rowOff>
    </xdr:from>
    <xdr:to>
      <xdr:col>12</xdr:col>
      <xdr:colOff>254000</xdr:colOff>
      <xdr:row>39</xdr:row>
      <xdr:rowOff>101600</xdr:rowOff>
    </xdr:to>
    <xdr:graphicFrame macro="">
      <xdr:nvGraphicFramePr>
        <xdr:cNvPr id="32" name="Chart 31">
          <a:extLst>
            <a:ext uri="{FF2B5EF4-FFF2-40B4-BE49-F238E27FC236}">
              <a16:creationId xmlns:a16="http://schemas.microsoft.com/office/drawing/2014/main" id="{63C111C5-09AE-4270-AFD3-499EFC7F8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638387</xdr:colOff>
      <xdr:row>2</xdr:row>
      <xdr:rowOff>54186</xdr:rowOff>
    </xdr:from>
    <xdr:to>
      <xdr:col>22</xdr:col>
      <xdr:colOff>220134</xdr:colOff>
      <xdr:row>40</xdr:row>
      <xdr:rowOff>101599</xdr:rowOff>
    </xdr:to>
    <xdr:sp macro="" textlink="">
      <xdr:nvSpPr>
        <xdr:cNvPr id="33" name="Rectangle: Rounded Corners 32">
          <a:extLst>
            <a:ext uri="{FF2B5EF4-FFF2-40B4-BE49-F238E27FC236}">
              <a16:creationId xmlns:a16="http://schemas.microsoft.com/office/drawing/2014/main" id="{F265F24C-5822-43AC-8D53-18AABEA65F57}"/>
            </a:ext>
          </a:extLst>
        </xdr:cNvPr>
        <xdr:cNvSpPr/>
      </xdr:nvSpPr>
      <xdr:spPr>
        <a:xfrm>
          <a:off x="8766387" y="460586"/>
          <a:ext cx="6355080" cy="7769013"/>
        </a:xfrm>
        <a:prstGeom prst="roundRect">
          <a:avLst>
            <a:gd name="adj" fmla="val 12193"/>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362373</xdr:colOff>
      <xdr:row>2</xdr:row>
      <xdr:rowOff>106680</xdr:rowOff>
    </xdr:from>
    <xdr:to>
      <xdr:col>16</xdr:col>
      <xdr:colOff>643466</xdr:colOff>
      <xdr:row>3</xdr:row>
      <xdr:rowOff>186267</xdr:rowOff>
    </xdr:to>
    <xdr:sp macro="" textlink="">
      <xdr:nvSpPr>
        <xdr:cNvPr id="34" name="TextBox 33">
          <a:extLst>
            <a:ext uri="{FF2B5EF4-FFF2-40B4-BE49-F238E27FC236}">
              <a16:creationId xmlns:a16="http://schemas.microsoft.com/office/drawing/2014/main" id="{FEAC866B-031A-46C8-A7A6-A654B7CF3EB0}"/>
            </a:ext>
          </a:extLst>
        </xdr:cNvPr>
        <xdr:cNvSpPr txBox="1"/>
      </xdr:nvSpPr>
      <xdr:spPr>
        <a:xfrm>
          <a:off x="9167706" y="513080"/>
          <a:ext cx="2313093" cy="282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1">
              <a:latin typeface="Segoe UI Semibold" panose="020B0702040204020203" pitchFamily="34" charset="0"/>
              <a:cs typeface="Segoe UI Semibold" panose="020B0702040204020203" pitchFamily="34" charset="0"/>
            </a:rPr>
            <a:t>Outlet</a:t>
          </a:r>
          <a:r>
            <a:rPr lang="en-IN" sz="1400" b="1" i="1" baseline="0">
              <a:latin typeface="Segoe UI Semibold" panose="020B0702040204020203" pitchFamily="34" charset="0"/>
              <a:cs typeface="Segoe UI Semibold" panose="020B0702040204020203" pitchFamily="34" charset="0"/>
            </a:rPr>
            <a:t> establishment</a:t>
          </a:r>
          <a:endParaRPr lang="en-IN" sz="1400" b="1" i="1">
            <a:latin typeface="Segoe UI Semibold" panose="020B0702040204020203" pitchFamily="34" charset="0"/>
            <a:cs typeface="Segoe UI Semibold" panose="020B0702040204020203" pitchFamily="34" charset="0"/>
          </a:endParaRPr>
        </a:p>
      </xdr:txBody>
    </xdr:sp>
    <xdr:clientData/>
  </xdr:twoCellAnchor>
  <xdr:twoCellAnchor>
    <xdr:from>
      <xdr:col>13</xdr:col>
      <xdr:colOff>152401</xdr:colOff>
      <xdr:row>4</xdr:row>
      <xdr:rowOff>101600</xdr:rowOff>
    </xdr:from>
    <xdr:to>
      <xdr:col>22</xdr:col>
      <xdr:colOff>135467</xdr:colOff>
      <xdr:row>14</xdr:row>
      <xdr:rowOff>54758</xdr:rowOff>
    </xdr:to>
    <xdr:graphicFrame macro="">
      <xdr:nvGraphicFramePr>
        <xdr:cNvPr id="35" name="Chart 34">
          <a:extLst>
            <a:ext uri="{FF2B5EF4-FFF2-40B4-BE49-F238E27FC236}">
              <a16:creationId xmlns:a16="http://schemas.microsoft.com/office/drawing/2014/main" id="{3ECEB46C-CE05-4FE3-B1ED-840C832C3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6773</xdr:colOff>
      <xdr:row>14</xdr:row>
      <xdr:rowOff>89746</xdr:rowOff>
    </xdr:from>
    <xdr:to>
      <xdr:col>16</xdr:col>
      <xdr:colOff>287866</xdr:colOff>
      <xdr:row>15</xdr:row>
      <xdr:rowOff>169333</xdr:rowOff>
    </xdr:to>
    <xdr:sp macro="" textlink="">
      <xdr:nvSpPr>
        <xdr:cNvPr id="36" name="TextBox 35">
          <a:extLst>
            <a:ext uri="{FF2B5EF4-FFF2-40B4-BE49-F238E27FC236}">
              <a16:creationId xmlns:a16="http://schemas.microsoft.com/office/drawing/2014/main" id="{418A09CC-AB4B-4FF9-8FA8-6CC40BF53168}"/>
            </a:ext>
          </a:extLst>
        </xdr:cNvPr>
        <xdr:cNvSpPr txBox="1"/>
      </xdr:nvSpPr>
      <xdr:spPr>
        <a:xfrm>
          <a:off x="8812106" y="2934546"/>
          <a:ext cx="2313093" cy="282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1">
              <a:latin typeface="Segoe UI Semibold" panose="020B0702040204020203" pitchFamily="34" charset="0"/>
              <a:cs typeface="Segoe UI Semibold" panose="020B0702040204020203" pitchFamily="34" charset="0"/>
            </a:rPr>
            <a:t>Outlet</a:t>
          </a:r>
          <a:r>
            <a:rPr lang="en-IN" sz="1400" b="1" i="1" baseline="0">
              <a:latin typeface="Segoe UI Semibold" panose="020B0702040204020203" pitchFamily="34" charset="0"/>
              <a:cs typeface="Segoe UI Semibold" panose="020B0702040204020203" pitchFamily="34" charset="0"/>
            </a:rPr>
            <a:t> size</a:t>
          </a:r>
          <a:endParaRPr lang="en-IN" sz="1400" b="1" i="1">
            <a:latin typeface="Segoe UI Semibold" panose="020B0702040204020203" pitchFamily="34" charset="0"/>
            <a:cs typeface="Segoe UI Semibold" panose="020B0702040204020203" pitchFamily="34" charset="0"/>
          </a:endParaRPr>
        </a:p>
      </xdr:txBody>
    </xdr:sp>
    <xdr:clientData/>
  </xdr:twoCellAnchor>
  <xdr:twoCellAnchor>
    <xdr:from>
      <xdr:col>13</xdr:col>
      <xdr:colOff>152401</xdr:colOff>
      <xdr:row>16</xdr:row>
      <xdr:rowOff>16933</xdr:rowOff>
    </xdr:from>
    <xdr:to>
      <xdr:col>17</xdr:col>
      <xdr:colOff>117543</xdr:colOff>
      <xdr:row>26</xdr:row>
      <xdr:rowOff>101600</xdr:rowOff>
    </xdr:to>
    <xdr:graphicFrame macro="">
      <xdr:nvGraphicFramePr>
        <xdr:cNvPr id="37" name="Chart 36">
          <a:extLst>
            <a:ext uri="{FF2B5EF4-FFF2-40B4-BE49-F238E27FC236}">
              <a16:creationId xmlns:a16="http://schemas.microsoft.com/office/drawing/2014/main" id="{B2E25CDA-3CC2-43D5-B59C-AC6B21E90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88054</xdr:colOff>
      <xdr:row>14</xdr:row>
      <xdr:rowOff>121920</xdr:rowOff>
    </xdr:from>
    <xdr:to>
      <xdr:col>22</xdr:col>
      <xdr:colOff>67734</xdr:colOff>
      <xdr:row>14</xdr:row>
      <xdr:rowOff>152400</xdr:rowOff>
    </xdr:to>
    <xdr:cxnSp macro="">
      <xdr:nvCxnSpPr>
        <xdr:cNvPr id="38" name="Straight Connector 37">
          <a:extLst>
            <a:ext uri="{FF2B5EF4-FFF2-40B4-BE49-F238E27FC236}">
              <a16:creationId xmlns:a16="http://schemas.microsoft.com/office/drawing/2014/main" id="{5F2A1A01-1A61-493A-8566-E0501B8BDE28}"/>
            </a:ext>
          </a:extLst>
        </xdr:cNvPr>
        <xdr:cNvCxnSpPr/>
      </xdr:nvCxnSpPr>
      <xdr:spPr>
        <a:xfrm flipH="1" flipV="1">
          <a:off x="8893387" y="2966720"/>
          <a:ext cx="6075680" cy="30480"/>
        </a:xfrm>
        <a:prstGeom prst="line">
          <a:avLst/>
        </a:prstGeom>
        <a:ln w="158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54187</xdr:colOff>
      <xdr:row>25</xdr:row>
      <xdr:rowOff>169333</xdr:rowOff>
    </xdr:from>
    <xdr:to>
      <xdr:col>21</xdr:col>
      <xdr:colOff>643467</xdr:colOff>
      <xdr:row>25</xdr:row>
      <xdr:rowOff>169333</xdr:rowOff>
    </xdr:to>
    <xdr:cxnSp macro="">
      <xdr:nvCxnSpPr>
        <xdr:cNvPr id="40" name="Straight Connector 39">
          <a:extLst>
            <a:ext uri="{FF2B5EF4-FFF2-40B4-BE49-F238E27FC236}">
              <a16:creationId xmlns:a16="http://schemas.microsoft.com/office/drawing/2014/main" id="{47D21590-3E1B-42D2-A55E-ECF0956E3434}"/>
            </a:ext>
          </a:extLst>
        </xdr:cNvPr>
        <xdr:cNvCxnSpPr/>
      </xdr:nvCxnSpPr>
      <xdr:spPr>
        <a:xfrm flipH="1">
          <a:off x="8859520" y="5249333"/>
          <a:ext cx="6007947" cy="0"/>
        </a:xfrm>
        <a:prstGeom prst="line">
          <a:avLst/>
        </a:prstGeom>
        <a:ln w="158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237066</xdr:colOff>
      <xdr:row>15</xdr:row>
      <xdr:rowOff>84667</xdr:rowOff>
    </xdr:from>
    <xdr:to>
      <xdr:col>17</xdr:col>
      <xdr:colOff>237066</xdr:colOff>
      <xdr:row>24</xdr:row>
      <xdr:rowOff>135467</xdr:rowOff>
    </xdr:to>
    <xdr:cxnSp macro="">
      <xdr:nvCxnSpPr>
        <xdr:cNvPr id="43" name="Straight Connector 42">
          <a:extLst>
            <a:ext uri="{FF2B5EF4-FFF2-40B4-BE49-F238E27FC236}">
              <a16:creationId xmlns:a16="http://schemas.microsoft.com/office/drawing/2014/main" id="{63A4A3B0-DAC5-4781-B289-B31B2B5329B9}"/>
            </a:ext>
          </a:extLst>
        </xdr:cNvPr>
        <xdr:cNvCxnSpPr/>
      </xdr:nvCxnSpPr>
      <xdr:spPr>
        <a:xfrm>
          <a:off x="11751733" y="3132667"/>
          <a:ext cx="0" cy="1879600"/>
        </a:xfrm>
        <a:prstGeom prst="line">
          <a:avLst/>
        </a:prstGeom>
        <a:ln w="158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355600</xdr:colOff>
      <xdr:row>16</xdr:row>
      <xdr:rowOff>16934</xdr:rowOff>
    </xdr:from>
    <xdr:to>
      <xdr:col>21</xdr:col>
      <xdr:colOff>664579</xdr:colOff>
      <xdr:row>25</xdr:row>
      <xdr:rowOff>89176</xdr:rowOff>
    </xdr:to>
    <mc:AlternateContent xmlns:mc="http://schemas.openxmlformats.org/markup-compatibility/2006">
      <mc:Choice xmlns:cx2="http://schemas.microsoft.com/office/drawing/2015/10/21/chartex" Requires="cx2">
        <xdr:graphicFrame macro="">
          <xdr:nvGraphicFramePr>
            <xdr:cNvPr id="45" name="Chart 44">
              <a:extLst>
                <a:ext uri="{FF2B5EF4-FFF2-40B4-BE49-F238E27FC236}">
                  <a16:creationId xmlns:a16="http://schemas.microsoft.com/office/drawing/2014/main" id="{840E8EF6-2E09-4EC9-8795-9769BFF78B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870267" y="3268134"/>
              <a:ext cx="3018312" cy="190104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345439</xdr:colOff>
      <xdr:row>14</xdr:row>
      <xdr:rowOff>157480</xdr:rowOff>
    </xdr:from>
    <xdr:to>
      <xdr:col>20</xdr:col>
      <xdr:colOff>626532</xdr:colOff>
      <xdr:row>16</xdr:row>
      <xdr:rowOff>33867</xdr:rowOff>
    </xdr:to>
    <xdr:sp macro="" textlink="">
      <xdr:nvSpPr>
        <xdr:cNvPr id="46" name="TextBox 45">
          <a:extLst>
            <a:ext uri="{FF2B5EF4-FFF2-40B4-BE49-F238E27FC236}">
              <a16:creationId xmlns:a16="http://schemas.microsoft.com/office/drawing/2014/main" id="{782539B1-0E07-4297-A99C-F267D692115F}"/>
            </a:ext>
          </a:extLst>
        </xdr:cNvPr>
        <xdr:cNvSpPr txBox="1"/>
      </xdr:nvSpPr>
      <xdr:spPr>
        <a:xfrm>
          <a:off x="11860106" y="3002280"/>
          <a:ext cx="2313093" cy="282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1">
              <a:latin typeface="Segoe UI Semibold" panose="020B0702040204020203" pitchFamily="34" charset="0"/>
              <a:cs typeface="Segoe UI Semibold" panose="020B0702040204020203" pitchFamily="34" charset="0"/>
            </a:rPr>
            <a:t>Outlet</a:t>
          </a:r>
          <a:r>
            <a:rPr lang="en-IN" sz="1400" b="1" i="1" baseline="0">
              <a:latin typeface="Segoe UI Semibold" panose="020B0702040204020203" pitchFamily="34" charset="0"/>
              <a:cs typeface="Segoe UI Semibold" panose="020B0702040204020203" pitchFamily="34" charset="0"/>
            </a:rPr>
            <a:t> location size</a:t>
          </a:r>
          <a:endParaRPr lang="en-IN" sz="1400" b="1" i="1">
            <a:latin typeface="Segoe UI Semibold" panose="020B0702040204020203" pitchFamily="34" charset="0"/>
            <a:cs typeface="Segoe UI Semibold" panose="020B0702040204020203" pitchFamily="34" charset="0"/>
          </a:endParaRPr>
        </a:p>
      </xdr:txBody>
    </xdr:sp>
    <xdr:clientData/>
  </xdr:twoCellAnchor>
  <xdr:twoCellAnchor>
    <xdr:from>
      <xdr:col>12</xdr:col>
      <xdr:colOff>101600</xdr:colOff>
      <xdr:row>26</xdr:row>
      <xdr:rowOff>50799</xdr:rowOff>
    </xdr:from>
    <xdr:to>
      <xdr:col>22</xdr:col>
      <xdr:colOff>101600</xdr:colOff>
      <xdr:row>40</xdr:row>
      <xdr:rowOff>152400</xdr:rowOff>
    </xdr:to>
    <xdr:graphicFrame macro="">
      <xdr:nvGraphicFramePr>
        <xdr:cNvPr id="47" name="Chart 46">
          <a:extLst>
            <a:ext uri="{FF2B5EF4-FFF2-40B4-BE49-F238E27FC236}">
              <a16:creationId xmlns:a16="http://schemas.microsoft.com/office/drawing/2014/main" id="{69012DE3-A23E-4C32-8A49-0EB4D8500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50800</xdr:colOff>
      <xdr:row>11</xdr:row>
      <xdr:rowOff>0</xdr:rowOff>
    </xdr:from>
    <xdr:to>
      <xdr:col>3</xdr:col>
      <xdr:colOff>533400</xdr:colOff>
      <xdr:row>17</xdr:row>
      <xdr:rowOff>25400</xdr:rowOff>
    </xdr:to>
    <mc:AlternateContent xmlns:mc="http://schemas.openxmlformats.org/markup-compatibility/2006">
      <mc:Choice xmlns:a14="http://schemas.microsoft.com/office/drawing/2010/main" Requires="a14">
        <xdr:graphicFrame macro="">
          <xdr:nvGraphicFramePr>
            <xdr:cNvPr id="49" name="Outlet Size 2">
              <a:extLst>
                <a:ext uri="{FF2B5EF4-FFF2-40B4-BE49-F238E27FC236}">
                  <a16:creationId xmlns:a16="http://schemas.microsoft.com/office/drawing/2014/main" id="{3C23FE99-7251-43D8-A8FC-6F5116978C11}"/>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dr:sp macro="" textlink="">
          <xdr:nvSpPr>
            <xdr:cNvPr id="0" name=""/>
            <xdr:cNvSpPr>
              <a:spLocks noTextEdit="1"/>
            </xdr:cNvSpPr>
          </xdr:nvSpPr>
          <xdr:spPr>
            <a:xfrm>
              <a:off x="723900" y="2235200"/>
              <a:ext cx="1828800" cy="124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25400</xdr:colOff>
      <xdr:row>17</xdr:row>
      <xdr:rowOff>101600</xdr:rowOff>
    </xdr:from>
    <xdr:to>
      <xdr:col>3</xdr:col>
      <xdr:colOff>508000</xdr:colOff>
      <xdr:row>23</xdr:row>
      <xdr:rowOff>172158</xdr:rowOff>
    </xdr:to>
    <mc:AlternateContent xmlns:mc="http://schemas.openxmlformats.org/markup-compatibility/2006">
      <mc:Choice xmlns:a14="http://schemas.microsoft.com/office/drawing/2010/main" Requires="a14">
        <xdr:graphicFrame macro="">
          <xdr:nvGraphicFramePr>
            <xdr:cNvPr id="50" name="Outlet Location Type 1">
              <a:extLst>
                <a:ext uri="{FF2B5EF4-FFF2-40B4-BE49-F238E27FC236}">
                  <a16:creationId xmlns:a16="http://schemas.microsoft.com/office/drawing/2014/main" id="{824F342E-A9F6-4133-8627-A94D695C2F52}"/>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698500" y="3556000"/>
              <a:ext cx="1828800" cy="1289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25400</xdr:colOff>
      <xdr:row>24</xdr:row>
      <xdr:rowOff>38100</xdr:rowOff>
    </xdr:from>
    <xdr:to>
      <xdr:col>3</xdr:col>
      <xdr:colOff>508000</xdr:colOff>
      <xdr:row>40</xdr:row>
      <xdr:rowOff>63500</xdr:rowOff>
    </xdr:to>
    <mc:AlternateContent xmlns:mc="http://schemas.openxmlformats.org/markup-compatibility/2006">
      <mc:Choice xmlns:a14="http://schemas.microsoft.com/office/drawing/2010/main" Requires="a14">
        <xdr:graphicFrame macro="">
          <xdr:nvGraphicFramePr>
            <xdr:cNvPr id="51" name="Item Type 1">
              <a:extLst>
                <a:ext uri="{FF2B5EF4-FFF2-40B4-BE49-F238E27FC236}">
                  <a16:creationId xmlns:a16="http://schemas.microsoft.com/office/drawing/2014/main" id="{863CA96A-7ECF-41CB-B1C6-6A48C2A12E3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698500" y="4914900"/>
              <a:ext cx="1828800" cy="3276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276860</xdr:colOff>
      <xdr:row>8</xdr:row>
      <xdr:rowOff>193040</xdr:rowOff>
    </xdr:from>
    <xdr:to>
      <xdr:col>4</xdr:col>
      <xdr:colOff>345440</xdr:colOff>
      <xdr:row>11</xdr:row>
      <xdr:rowOff>81280</xdr:rowOff>
    </xdr:to>
    <xdr:sp macro="" textlink="">
      <xdr:nvSpPr>
        <xdr:cNvPr id="52" name="TextBox 51">
          <a:extLst>
            <a:ext uri="{FF2B5EF4-FFF2-40B4-BE49-F238E27FC236}">
              <a16:creationId xmlns:a16="http://schemas.microsoft.com/office/drawing/2014/main" id="{508BCBB5-E235-4F3F-B4EA-0625C28B214F}"/>
            </a:ext>
          </a:extLst>
        </xdr:cNvPr>
        <xdr:cNvSpPr txBox="1"/>
      </xdr:nvSpPr>
      <xdr:spPr>
        <a:xfrm>
          <a:off x="949960" y="1818640"/>
          <a:ext cx="2087880" cy="497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dk1"/>
              </a:solidFill>
              <a:latin typeface="Aptos Display" panose="020B0004020202020204" pitchFamily="34" charset="0"/>
              <a:ea typeface="Segoe UI Black" panose="020B0A02040204020203" pitchFamily="34" charset="0"/>
            </a:rPr>
            <a:t>Apply</a:t>
          </a:r>
          <a:r>
            <a:rPr lang="en-IN" sz="1400" b="1" baseline="0">
              <a:solidFill>
                <a:schemeClr val="dk1"/>
              </a:solidFill>
              <a:latin typeface="Aptos Display" panose="020B0004020202020204" pitchFamily="34" charset="0"/>
              <a:ea typeface="Segoe UI Black" panose="020B0A02040204020203" pitchFamily="34" charset="0"/>
            </a:rPr>
            <a:t> the Filters</a:t>
          </a:r>
          <a:endParaRPr lang="en-IN" sz="14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sav Jain" refreshedDate="46206.872715393518" createdVersion="8" refreshedVersion="8" minRefreshableVersion="3" recordCount="8523" xr:uid="{D00E32B5-A4DD-4C49-8B41-70105B128692}">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07315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26626D-B4DE-4CC2-B71F-FFFC3B9F3391}" name="PivotTable9"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85:B8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1"/>
    </i>
    <i>
      <x/>
    </i>
    <i>
      <x v="2"/>
    </i>
    <i>
      <x v="3"/>
    </i>
  </rowItems>
  <colItems count="1">
    <i/>
  </colItems>
  <dataFields count="1">
    <dataField name="Sum of Sales" fld="11" baseField="0" baseItem="0" numFmtId="167"/>
  </dataFields>
  <formats count="3">
    <format dxfId="20">
      <pivotArea type="all" dataOnly="0" outline="0" fieldPosition="0"/>
    </format>
    <format dxfId="21">
      <pivotArea outline="0" collapsedLevelsAreSubtotals="1" fieldPosition="0"/>
    </format>
    <format dxfId="22">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8" count="1" selected="0">
            <x v="3"/>
          </reference>
        </references>
      </pivotArea>
    </chartFormat>
    <chartFormat chart="27" format="4">
      <pivotArea type="data" outline="0" fieldPosition="0">
        <references count="2">
          <reference field="4294967294" count="1" selected="0">
            <x v="0"/>
          </reference>
          <reference field="8" count="1" selected="0">
            <x v="2"/>
          </reference>
        </references>
      </pivotArea>
    </chartFormat>
    <chartFormat chart="27" format="5">
      <pivotArea type="data" outline="0" fieldPosition="0">
        <references count="2">
          <reference field="4294967294" count="1" selected="0">
            <x v="0"/>
          </reference>
          <reference field="8" count="1" selected="0">
            <x v="1"/>
          </reference>
        </references>
      </pivotArea>
    </chartFormat>
    <chartFormat chart="27"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99E820-2736-4117-ADB6-05BD13C1BCF5}" name="PivotTable8"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77:B8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7"/>
  </dataFields>
  <formats count="3">
    <format dxfId="23">
      <pivotArea type="all" dataOnly="0" outline="0" fieldPosition="0"/>
    </format>
    <format dxfId="24">
      <pivotArea outline="0" collapsedLevelsAreSubtotals="1" fieldPosition="0"/>
    </format>
    <format dxfId="25">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1D9C35-3F39-4ABD-95CA-56241E78FEA8}" name="PivotTable7"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66:B6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3">
    <format dxfId="26">
      <pivotArea type="all" dataOnly="0" outline="0" fieldPosition="0"/>
    </format>
    <format dxfId="27">
      <pivotArea outline="0" collapsedLevelsAreSubtotals="1" fieldPosition="0"/>
    </format>
    <format dxfId="28">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7" count="1" selected="0">
            <x v="0"/>
          </reference>
        </references>
      </pivotArea>
    </chartFormat>
    <chartFormat chart="23" format="7">
      <pivotArea type="data" outline="0" fieldPosition="0">
        <references count="2">
          <reference field="4294967294" count="1" selected="0">
            <x v="0"/>
          </reference>
          <reference field="7" count="1" selected="0">
            <x v="1"/>
          </reference>
        </references>
      </pivotArea>
    </chartFormat>
    <chartFormat chart="2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75E60A-AE3C-49E3-BB3A-BF908618B504}" name="PivotTable6"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51:B6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pivotField showAll="0"/>
    <pivotField showAll="0"/>
    <pivotField showAll="0"/>
    <pivotField dataField="1" showAll="0"/>
    <pivotField showAll="0"/>
  </pivotFields>
  <rowFields count="1">
    <field x="4"/>
  </rowFields>
  <rowItems count="9">
    <i>
      <x/>
    </i>
    <i>
      <x v="7"/>
    </i>
    <i>
      <x v="1"/>
    </i>
    <i>
      <x v="3"/>
    </i>
    <i>
      <x v="8"/>
    </i>
    <i>
      <x v="2"/>
    </i>
    <i>
      <x v="4"/>
    </i>
    <i>
      <x v="5"/>
    </i>
    <i>
      <x v="6"/>
    </i>
  </rowItems>
  <colItems count="1">
    <i/>
  </colItems>
  <dataFields count="1">
    <dataField name="Sum of Sales" fld="11" baseField="0" baseItem="0" numFmtId="167"/>
  </dataFields>
  <formats count="3">
    <format dxfId="29">
      <pivotArea type="all" dataOnly="0" outline="0" fieldPosition="0"/>
    </format>
    <format dxfId="30">
      <pivotArea outline="0" collapsedLevelsAreSubtotals="1" fieldPosition="0"/>
    </format>
    <format dxfId="3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14B184-2C4F-4334-B875-32B719CBBCC2}" name="PivotTable5"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27:B43"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3">
    <format dxfId="32">
      <pivotArea type="all" dataOnly="0" outline="0" fieldPosition="0"/>
    </format>
    <format dxfId="33">
      <pivotArea outline="0" collapsedLevelsAreSubtotals="1" fieldPosition="0"/>
    </format>
    <format dxfId="3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C35958-DE7A-46BB-971C-3AC0D5E2F850}" name="PivotTable4"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17:C21" firstHeaderRow="1" firstDataRow="2" firstDataCol="1"/>
  <pivotFields count="13">
    <pivotField axis="axisCol" showAll="0">
      <items count="3">
        <item x="0"/>
        <item x="1"/>
        <item t="default"/>
      </items>
    </pivotField>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3">
    <format dxfId="35">
      <pivotArea type="all" dataOnly="0" outline="0" fieldPosition="0"/>
    </format>
    <format dxfId="36">
      <pivotArea outline="0" collapsedLevelsAreSubtotals="1" fieldPosition="0"/>
    </format>
    <format dxfId="37">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7D8753-EDDD-44A7-BF55-69033F73906D}" name="PivotTable2"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1:B13"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3">
    <format dxfId="39">
      <pivotArea type="all" dataOnly="0" outline="0" fieldPosition="0"/>
    </format>
    <format dxfId="40">
      <pivotArea outline="0" collapsedLevelsAreSubtotals="1" fieldPosition="0"/>
    </format>
    <format dxfId="3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A87B4D-964C-41C3-8127-04F4EBEBAB34}"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g sales" fld="11" subtotal="average" baseField="0" baseItem="1"/>
    <dataField name="No of items" fld="1" baseField="0" baseItem="1"/>
    <dataField name="Average Rating" fld="12" subtotal="average" baseField="0" baseItem="1"/>
  </dataFields>
  <formats count="3">
    <format dxfId="43">
      <pivotArea type="all" dataOnly="0" outline="0" fieldPosition="0"/>
    </format>
    <format dxfId="42">
      <pivotArea outline="0" collapsedLevelsAreSubtotals="1" fieldPosition="0"/>
    </format>
    <format dxfId="4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858E3D8-ABB6-4635-8F6A-647011AE7F17}" sourceName="Outlet Size">
  <pivotTables>
    <pivotTable tabId="2" name="PivotTable1"/>
  </pivotTables>
  <data>
    <tabular pivotCacheId="100731594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5E6E4E0D-A84B-4C3B-91DA-DF313A4D45A6}" sourceName="Outlet Location Type">
  <pivotTables>
    <pivotTable tabId="2" name="PivotTable4"/>
  </pivotTables>
  <data>
    <tabular pivotCacheId="100731594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D5BEF83-E3E7-4010-ACA1-637B32A42C07}" sourceName="Item Type">
  <pivotTables>
    <pivotTable tabId="2" name="PivotTable5"/>
  </pivotTables>
  <data>
    <tabular pivotCacheId="100731594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F77B29F-1561-407A-B713-C44626A041D7}" cache="Slicer_Outlet_Size" caption="Outlet Size" style="SlicerStyleLight4" rowHeight="260350"/>
  <slicer name="Outlet Location Type" xr10:uid="{A972385E-4CFC-4D09-A6BC-71164E31DF59}" cache="Slicer_Outlet_Location_Type" caption="Outlet Location Type" style="SlicerStyleLight4" rowHeight="260350"/>
  <slicer name="Item Type" xr10:uid="{7DF3FDCC-78C4-4CEB-A3D1-8F04B7BB0AFA}" cache="Slicer_Item_Type" caption="Item Type" style="SlicerStyleLight4"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B05710F7-3714-4619-AC29-7577C66236FE}" cache="Slicer_Outlet_Size" caption="Outlet Size" style="SlicerStyleLight4" rowHeight="260350"/>
  <slicer name="Outlet Location Type 1" xr10:uid="{75243E21-F08C-43F1-8CBF-93A983B8F3C0}" cache="Slicer_Outlet_Location_Type" caption="Outlet Location Type" style="SlicerStyleLight4" rowHeight="260350"/>
  <slicer name="Item Type 1" xr10:uid="{4031E33D-6CA9-4395-B9C3-6AD0117702FE}" cache="Slicer_Item_Type" caption="Item Type" style="SlicerStyleLight4"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29F48C87-A50F-486A-B502-691334FC11FE}"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60" workbookViewId="0">
      <selection activeCell="B3" sqref="B3"/>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3D773-9F34-4D01-8250-F2383BD03505}">
  <dimension ref="A2:E89"/>
  <sheetViews>
    <sheetView zoomScale="77" workbookViewId="0">
      <selection activeCell="A28" sqref="A28:A43"/>
      <pivotSelection pane="bottomRight" showHeader="1" activeRow="27" click="1" r:id="rId5">
        <pivotArea dataOnly="0" labelOnly="1" fieldPosition="0">
          <references count="1">
            <reference field="3" count="0"/>
          </references>
        </pivotArea>
      </pivotSelection>
    </sheetView>
  </sheetViews>
  <sheetFormatPr defaultRowHeight="15.6" x14ac:dyDescent="0.3"/>
  <cols>
    <col min="1" max="1" width="19.09765625" bestFit="1" customWidth="1"/>
    <col min="2" max="2" width="11.3984375" bestFit="1" customWidth="1"/>
    <col min="3" max="3" width="7.3984375" bestFit="1" customWidth="1"/>
    <col min="4" max="4" width="13.5" bestFit="1" customWidth="1"/>
  </cols>
  <sheetData>
    <row r="2" spans="1:4" ht="16.2" thickBot="1" x14ac:dyDescent="0.35">
      <c r="C2" t="s">
        <v>1621</v>
      </c>
    </row>
    <row r="3" spans="1:4" ht="16.2" thickBot="1" x14ac:dyDescent="0.35">
      <c r="A3" s="12" t="s">
        <v>1610</v>
      </c>
      <c r="B3" s="13" t="s">
        <v>1611</v>
      </c>
      <c r="C3" s="13" t="s">
        <v>1613</v>
      </c>
      <c r="D3" s="14" t="s">
        <v>1614</v>
      </c>
    </row>
    <row r="4" spans="1:4" ht="16.2" thickBot="1" x14ac:dyDescent="0.35">
      <c r="A4" s="9">
        <v>1201681.4928000034</v>
      </c>
      <c r="B4" s="10">
        <v>140.99278338613203</v>
      </c>
      <c r="C4" s="10">
        <v>36325026</v>
      </c>
      <c r="D4" s="11">
        <v>3.9658570925731196</v>
      </c>
    </row>
    <row r="5" spans="1:4" x14ac:dyDescent="0.3">
      <c r="A5" s="2"/>
      <c r="D5" s="3"/>
    </row>
    <row r="6" spans="1:4" x14ac:dyDescent="0.3">
      <c r="A6" s="2" t="s">
        <v>1616</v>
      </c>
      <c r="B6" t="s">
        <v>1617</v>
      </c>
      <c r="C6" t="s">
        <v>1618</v>
      </c>
      <c r="D6" s="3" t="s">
        <v>1619</v>
      </c>
    </row>
    <row r="7" spans="1:4" ht="16.2" thickBot="1" x14ac:dyDescent="0.35">
      <c r="A7" s="4">
        <f>GETPIVOTDATA("Sum of Sales",$A$3)</f>
        <v>1201681.4928000034</v>
      </c>
      <c r="B7" s="5">
        <f>GETPIVOTDATA("Avg sales",$A$3)</f>
        <v>140.99278338613203</v>
      </c>
      <c r="C7" s="6">
        <f>GETPIVOTDATA("No of items",$A$3)</f>
        <v>36325026</v>
      </c>
      <c r="D7" s="7">
        <f>GETPIVOTDATA("Average Rating",$A$3)</f>
        <v>3.9658570925731196</v>
      </c>
    </row>
    <row r="10" spans="1:4" ht="16.2" thickBot="1" x14ac:dyDescent="0.35">
      <c r="A10" s="19" t="s">
        <v>1622</v>
      </c>
      <c r="B10" s="19"/>
    </row>
    <row r="11" spans="1:4" ht="16.2" thickBot="1" x14ac:dyDescent="0.35">
      <c r="A11" s="8" t="s">
        <v>1620</v>
      </c>
      <c r="B11" s="1" t="s">
        <v>1610</v>
      </c>
    </row>
    <row r="12" spans="1:4" x14ac:dyDescent="0.3">
      <c r="A12" s="15" t="s">
        <v>17</v>
      </c>
      <c r="B12" s="17">
        <v>776319.68840000057</v>
      </c>
    </row>
    <row r="13" spans="1:4" ht="16.2" thickBot="1" x14ac:dyDescent="0.35">
      <c r="A13" s="16" t="s">
        <v>10</v>
      </c>
      <c r="B13" s="18">
        <v>425361.8043999995</v>
      </c>
    </row>
    <row r="16" spans="1:4" ht="16.2" thickBot="1" x14ac:dyDescent="0.35">
      <c r="A16" s="19" t="s">
        <v>1623</v>
      </c>
      <c r="B16" s="19"/>
    </row>
    <row r="17" spans="1:3" x14ac:dyDescent="0.3">
      <c r="A17" s="8" t="s">
        <v>1610</v>
      </c>
      <c r="B17" s="23" t="s">
        <v>1624</v>
      </c>
      <c r="C17" s="1"/>
    </row>
    <row r="18" spans="1:3" ht="16.2" thickBot="1" x14ac:dyDescent="0.35">
      <c r="A18" s="24" t="s">
        <v>1620</v>
      </c>
      <c r="B18" s="25" t="s">
        <v>10</v>
      </c>
      <c r="C18" s="3" t="s">
        <v>17</v>
      </c>
    </row>
    <row r="19" spans="1:3" x14ac:dyDescent="0.3">
      <c r="A19" s="15" t="s">
        <v>14</v>
      </c>
      <c r="B19" s="26">
        <v>121349.89940000001</v>
      </c>
      <c r="C19" s="27">
        <v>215047.9126000001</v>
      </c>
    </row>
    <row r="20" spans="1:3" x14ac:dyDescent="0.3">
      <c r="A20" s="15" t="s">
        <v>34</v>
      </c>
      <c r="B20" s="28">
        <v>138685.86819999994</v>
      </c>
      <c r="C20" s="20">
        <v>254464.77940000014</v>
      </c>
    </row>
    <row r="21" spans="1:3" ht="16.2" thickBot="1" x14ac:dyDescent="0.35">
      <c r="A21" s="16" t="s">
        <v>21</v>
      </c>
      <c r="B21" s="29">
        <v>165326.0368</v>
      </c>
      <c r="C21" s="21">
        <v>306806.99640000012</v>
      </c>
    </row>
    <row r="26" spans="1:3" ht="16.2" thickBot="1" x14ac:dyDescent="0.35">
      <c r="A26" s="19" t="s">
        <v>1623</v>
      </c>
      <c r="B26" s="19"/>
    </row>
    <row r="27" spans="1:3" ht="16.2" thickBot="1" x14ac:dyDescent="0.35">
      <c r="A27" s="8" t="s">
        <v>1620</v>
      </c>
      <c r="B27" s="1" t="s">
        <v>1610</v>
      </c>
    </row>
    <row r="28" spans="1:3" x14ac:dyDescent="0.3">
      <c r="A28" s="15" t="s">
        <v>153</v>
      </c>
      <c r="B28" s="17">
        <v>9077.869999999999</v>
      </c>
    </row>
    <row r="29" spans="1:3" x14ac:dyDescent="0.3">
      <c r="A29" s="15" t="s">
        <v>74</v>
      </c>
      <c r="B29" s="22">
        <v>15596.696600000001</v>
      </c>
    </row>
    <row r="30" spans="1:3" x14ac:dyDescent="0.3">
      <c r="A30" s="15" t="s">
        <v>159</v>
      </c>
      <c r="B30" s="22">
        <v>21880.027399999992</v>
      </c>
    </row>
    <row r="31" spans="1:3" x14ac:dyDescent="0.3">
      <c r="A31" s="15" t="s">
        <v>64</v>
      </c>
      <c r="B31" s="22">
        <v>22451.891599999999</v>
      </c>
    </row>
    <row r="32" spans="1:3" x14ac:dyDescent="0.3">
      <c r="A32" s="15" t="s">
        <v>61</v>
      </c>
      <c r="B32" s="22">
        <v>29334.680599999996</v>
      </c>
    </row>
    <row r="33" spans="1:2" x14ac:dyDescent="0.3">
      <c r="A33" s="15" t="s">
        <v>57</v>
      </c>
      <c r="B33" s="22">
        <v>35379.119800000015</v>
      </c>
    </row>
    <row r="34" spans="1:2" x14ac:dyDescent="0.3">
      <c r="A34" s="15" t="s">
        <v>32</v>
      </c>
      <c r="B34" s="22">
        <v>58514.166999999987</v>
      </c>
    </row>
    <row r="35" spans="1:2" x14ac:dyDescent="0.3">
      <c r="A35" s="15" t="s">
        <v>54</v>
      </c>
      <c r="B35" s="22">
        <v>59449.863799999992</v>
      </c>
    </row>
    <row r="36" spans="1:2" x14ac:dyDescent="0.3">
      <c r="A36" s="15" t="s">
        <v>19</v>
      </c>
      <c r="B36" s="22">
        <v>68025.838800000012</v>
      </c>
    </row>
    <row r="37" spans="1:2" x14ac:dyDescent="0.3">
      <c r="A37" s="15" t="s">
        <v>95</v>
      </c>
      <c r="B37" s="22">
        <v>81894.736400000009</v>
      </c>
    </row>
    <row r="38" spans="1:2" x14ac:dyDescent="0.3">
      <c r="A38" s="15" t="s">
        <v>28</v>
      </c>
      <c r="B38" s="22">
        <v>90706.728999999992</v>
      </c>
    </row>
    <row r="39" spans="1:2" x14ac:dyDescent="0.3">
      <c r="A39" s="15" t="s">
        <v>67</v>
      </c>
      <c r="B39" s="22">
        <v>101276.46159999995</v>
      </c>
    </row>
    <row r="40" spans="1:2" x14ac:dyDescent="0.3">
      <c r="A40" s="15" t="s">
        <v>24</v>
      </c>
      <c r="B40" s="22">
        <v>118558.88140000009</v>
      </c>
    </row>
    <row r="41" spans="1:2" x14ac:dyDescent="0.3">
      <c r="A41" s="15" t="s">
        <v>42</v>
      </c>
      <c r="B41" s="22">
        <v>135976.52539999998</v>
      </c>
    </row>
    <row r="42" spans="1:2" x14ac:dyDescent="0.3">
      <c r="A42" s="15" t="s">
        <v>48</v>
      </c>
      <c r="B42" s="22">
        <v>175433.92240000021</v>
      </c>
    </row>
    <row r="43" spans="1:2" ht="16.2" thickBot="1" x14ac:dyDescent="0.35">
      <c r="A43" s="16" t="s">
        <v>12</v>
      </c>
      <c r="B43" s="18">
        <v>178124.08099999995</v>
      </c>
    </row>
    <row r="50" spans="1:2" ht="16.2" thickBot="1" x14ac:dyDescent="0.35">
      <c r="A50" s="19" t="s">
        <v>1625</v>
      </c>
      <c r="B50" s="19"/>
    </row>
    <row r="51" spans="1:2" ht="16.2" thickBot="1" x14ac:dyDescent="0.35">
      <c r="A51" s="8" t="s">
        <v>1620</v>
      </c>
      <c r="B51" s="1" t="s">
        <v>1610</v>
      </c>
    </row>
    <row r="52" spans="1:2" x14ac:dyDescent="0.3">
      <c r="A52" s="15">
        <v>2011</v>
      </c>
      <c r="B52" s="17">
        <v>78131.566599999976</v>
      </c>
    </row>
    <row r="53" spans="1:2" x14ac:dyDescent="0.3">
      <c r="A53" s="15">
        <v>2020</v>
      </c>
      <c r="B53" s="22">
        <v>129103.96039999987</v>
      </c>
    </row>
    <row r="54" spans="1:2" x14ac:dyDescent="0.3">
      <c r="A54" s="15">
        <v>2012</v>
      </c>
      <c r="B54" s="22">
        <v>130476.85979999998</v>
      </c>
    </row>
    <row r="55" spans="1:2" x14ac:dyDescent="0.3">
      <c r="A55" s="15">
        <v>2015</v>
      </c>
      <c r="B55" s="22">
        <v>130942.78019999999</v>
      </c>
    </row>
    <row r="56" spans="1:2" x14ac:dyDescent="0.3">
      <c r="A56" s="15">
        <v>2022</v>
      </c>
      <c r="B56" s="22">
        <v>131477.77639999994</v>
      </c>
    </row>
    <row r="57" spans="1:2" x14ac:dyDescent="0.3">
      <c r="A57" s="15">
        <v>2014</v>
      </c>
      <c r="B57" s="22">
        <v>131809.01560000007</v>
      </c>
    </row>
    <row r="58" spans="1:2" x14ac:dyDescent="0.3">
      <c r="A58" s="15">
        <v>2016</v>
      </c>
      <c r="B58" s="22">
        <v>132113.36980000007</v>
      </c>
    </row>
    <row r="59" spans="1:2" x14ac:dyDescent="0.3">
      <c r="A59" s="15">
        <v>2017</v>
      </c>
      <c r="B59" s="22">
        <v>133103.90699999989</v>
      </c>
    </row>
    <row r="60" spans="1:2" ht="16.2" thickBot="1" x14ac:dyDescent="0.35">
      <c r="A60" s="16">
        <v>2018</v>
      </c>
      <c r="B60" s="18">
        <v>204522.25700000025</v>
      </c>
    </row>
    <row r="65" spans="1:5" ht="16.2" thickBot="1" x14ac:dyDescent="0.35">
      <c r="A65" s="19" t="s">
        <v>1626</v>
      </c>
      <c r="B65" s="19"/>
    </row>
    <row r="66" spans="1:5" ht="16.2" thickBot="1" x14ac:dyDescent="0.35">
      <c r="A66" s="8" t="s">
        <v>1620</v>
      </c>
      <c r="B66" s="1" t="s">
        <v>1610</v>
      </c>
    </row>
    <row r="67" spans="1:5" x14ac:dyDescent="0.3">
      <c r="A67" s="15" t="s">
        <v>30</v>
      </c>
      <c r="B67" s="17">
        <v>248991.58600000024</v>
      </c>
    </row>
    <row r="68" spans="1:5" x14ac:dyDescent="0.3">
      <c r="A68" s="15" t="s">
        <v>15</v>
      </c>
      <c r="B68" s="22">
        <v>507895.7363999993</v>
      </c>
    </row>
    <row r="69" spans="1:5" ht="16.2" thickBot="1" x14ac:dyDescent="0.35">
      <c r="A69" s="16" t="s">
        <v>26</v>
      </c>
      <c r="B69" s="18">
        <v>444794.17039999936</v>
      </c>
    </row>
    <row r="76" spans="1:5" ht="16.2" thickBot="1" x14ac:dyDescent="0.35">
      <c r="A76" s="19" t="s">
        <v>1627</v>
      </c>
      <c r="B76" s="19"/>
    </row>
    <row r="77" spans="1:5" ht="16.2" thickBot="1" x14ac:dyDescent="0.35">
      <c r="A77" s="8" t="s">
        <v>1620</v>
      </c>
      <c r="B77" s="1" t="s">
        <v>1610</v>
      </c>
    </row>
    <row r="78" spans="1:5" x14ac:dyDescent="0.3">
      <c r="A78" s="15" t="s">
        <v>14</v>
      </c>
      <c r="B78" s="17">
        <v>336397.81199999945</v>
      </c>
      <c r="D78" s="15" t="s">
        <v>21</v>
      </c>
      <c r="E78" s="17">
        <v>472133.03319999954</v>
      </c>
    </row>
    <row r="79" spans="1:5" x14ac:dyDescent="0.3">
      <c r="A79" s="15" t="s">
        <v>34</v>
      </c>
      <c r="B79" s="22">
        <v>393150.64759999956</v>
      </c>
      <c r="D79" s="15" t="s">
        <v>34</v>
      </c>
      <c r="E79" s="22">
        <v>393150.64759999956</v>
      </c>
    </row>
    <row r="80" spans="1:5" ht="16.2" thickBot="1" x14ac:dyDescent="0.35">
      <c r="A80" s="16" t="s">
        <v>21</v>
      </c>
      <c r="B80" s="18">
        <v>472133.03319999954</v>
      </c>
      <c r="D80" s="16" t="s">
        <v>14</v>
      </c>
      <c r="E80" s="18">
        <v>336397.81199999945</v>
      </c>
    </row>
    <row r="84" spans="1:2" ht="16.2" thickBot="1" x14ac:dyDescent="0.35">
      <c r="A84" s="19" t="s">
        <v>1628</v>
      </c>
      <c r="B84" s="19"/>
    </row>
    <row r="85" spans="1:2" ht="16.2" thickBot="1" x14ac:dyDescent="0.35">
      <c r="A85" s="8" t="s">
        <v>1620</v>
      </c>
      <c r="B85" s="1" t="s">
        <v>1610</v>
      </c>
    </row>
    <row r="86" spans="1:2" x14ac:dyDescent="0.3">
      <c r="A86" s="15" t="s">
        <v>16</v>
      </c>
      <c r="B86" s="17">
        <v>787549.89280000131</v>
      </c>
    </row>
    <row r="87" spans="1:2" x14ac:dyDescent="0.3">
      <c r="A87" s="15" t="s">
        <v>40</v>
      </c>
      <c r="B87" s="22">
        <v>151939.149</v>
      </c>
    </row>
    <row r="88" spans="1:2" x14ac:dyDescent="0.3">
      <c r="A88" s="15" t="s">
        <v>22</v>
      </c>
      <c r="B88" s="22">
        <v>131477.77639999994</v>
      </c>
    </row>
    <row r="89" spans="1:2" ht="16.2" thickBot="1" x14ac:dyDescent="0.35">
      <c r="A89" s="16" t="s">
        <v>46</v>
      </c>
      <c r="B89" s="18">
        <v>130714.67460000006</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C0DFA-9B8E-4380-82A3-4030A1286C33}">
  <dimension ref="F46"/>
  <sheetViews>
    <sheetView showGridLines="0" tabSelected="1" zoomScale="60" zoomScaleNormal="60" workbookViewId="0">
      <selection activeCell="X17" sqref="X17"/>
    </sheetView>
  </sheetViews>
  <sheetFormatPr defaultRowHeight="15.6" x14ac:dyDescent="0.3"/>
  <sheetData>
    <row r="46" spans="6:6" x14ac:dyDescent="0.3">
      <c r="F46" t="s">
        <v>1615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utsav jain</cp:lastModifiedBy>
  <dcterms:created xsi:type="dcterms:W3CDTF">2024-06-23T13:11:17Z</dcterms:created>
  <dcterms:modified xsi:type="dcterms:W3CDTF">2026-07-03T18:31:42Z</dcterms:modified>
</cp:coreProperties>
</file>